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mo Requirements" sheetId="2" state="visible" r:id="rId2"/>
    <sheet xmlns:r="http://schemas.openxmlformats.org/officeDocument/2006/relationships" name="DVP" sheetId="3" state="visible" r:id="rId3"/>
    <sheet xmlns:r="http://schemas.openxmlformats.org/officeDocument/2006/relationships" name="FMEA" sheetId="4" state="visible" r:id="rId4"/>
    <sheet xmlns:r="http://schemas.openxmlformats.org/officeDocument/2006/relationships" name="Fault Classes" sheetId="5" state="visible" r:id="rId5"/>
    <sheet xmlns:r="http://schemas.openxmlformats.org/officeDocument/2006/relationships" name="Load Cases &amp; Perf" sheetId="6" state="visible" r:id="rId6"/>
    <sheet xmlns:r="http://schemas.openxmlformats.org/officeDocument/2006/relationships" name="Data Logging" sheetId="7" state="visible" r:id="rId7"/>
    <sheet xmlns:r="http://schemas.openxmlformats.org/officeDocument/2006/relationships" name="Gates" sheetId="8" state="visible" r:id="rId8"/>
    <sheet xmlns:r="http://schemas.openxmlformats.org/officeDocument/2006/relationships" name="Equipment &amp; Access" sheetId="9" state="visible" r:id="rId9"/>
    <sheet xmlns:r="http://schemas.openxmlformats.org/officeDocument/2006/relationships" name="Conflicts (RSK)" sheetId="10" state="visible" r:id="rId10"/>
    <sheet xmlns:r="http://schemas.openxmlformats.org/officeDocument/2006/relationships" name="Thermal Sweep" sheetId="11" state="visible" r:id="rId11"/>
    <sheet xmlns:r="http://schemas.openxmlformats.org/officeDocument/2006/relationships" name="System Model" sheetId="12" state="visible" r:id="rId12"/>
    <sheet xmlns:r="http://schemas.openxmlformats.org/officeDocument/2006/relationships" name="Fault Sweep" sheetId="13" state="visible" r:id="rId13"/>
    <sheet xmlns:r="http://schemas.openxmlformats.org/officeDocument/2006/relationships" name="Spares" sheetId="14" state="visible" r:id="rId14"/>
    <sheet xmlns:r="http://schemas.openxmlformats.org/officeDocument/2006/relationships" name="Energy" sheetId="15" state="visible" r:id="rId15"/>
  </sheets>
  <definedNames>
    <definedName name="_xlnm._FilterDatabase" localSheetId="1" hidden="1">'Demo Requirements'!$A$1:$H$56</definedName>
    <definedName name="_xlnm._FilterDatabase" localSheetId="2" hidden="1">'DVP'!$A$1:$S$91</definedName>
    <definedName name="_xlnm._FilterDatabase" localSheetId="3" hidden="1">'FMEA'!$A$1:$Q$69</definedName>
    <definedName name="_xlnm._FilterDatabase" localSheetId="6" hidden="1">'Data Logging'!$A$1:$I$19</definedName>
    <definedName name="_xlnm._FilterDatabase" localSheetId="7" hidden="1">'Gates'!$A$1:$G$14</definedName>
    <definedName name="_xlnm._FilterDatabase" localSheetId="8" hidden="1">'Equipment &amp; Access'!$A$1:$H$33</definedName>
    <definedName name="_xlnm._FilterDatabase" localSheetId="9" hidden="1">'Conflicts (RSK)'!$A$1:$G$47</definedName>
    <definedName name="_xlnm._FilterDatabase" localSheetId="13" hidden="1">'Spares'!$A$5:$Q$80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10"/>
    </font>
    <font>
      <name val="Arial"/>
      <family val="2"/>
      <sz val="10"/>
    </font>
    <font>
      <b val="1"/>
    </font>
    <font/>
  </fonts>
  <fills count="1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63BE7B"/>
        <bgColor rgb="FF339966"/>
      </patternFill>
    </fill>
    <fill>
      <patternFill patternType="solid">
        <fgColor rgb="FFC6EFCE"/>
        <bgColor rgb="FFD9EAD3"/>
      </patternFill>
    </fill>
    <fill>
      <patternFill patternType="solid">
        <fgColor rgb="FFF4B183"/>
        <bgColor rgb="FFF4CCCC"/>
      </patternFill>
    </fill>
    <fill>
      <patternFill patternType="solid">
        <fgColor rgb="FFFFD966"/>
        <bgColor rgb="FFF4B183"/>
      </patternFill>
    </fill>
    <fill>
      <patternFill patternType="solid">
        <fgColor rgb="FFE7E6E6"/>
        <bgColor rgb="FFE2EFDA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BDD7EE"/>
      </patternFill>
    </fill>
    <fill>
      <patternFill patternType="solid">
        <fgColor rgb="FFFFFFFF"/>
        <bgColor rgb="FFFFF9E6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D9EAD3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1" fontId="7" fillId="0" borderId="0" applyAlignment="1" pivotButton="0" quotePrefix="0" xfId="0">
      <alignment horizontal="general" vertical="top" wrapText="1"/>
    </xf>
    <xf numFmtId="3" fontId="7" fillId="0" borderId="0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top" wrapText="1"/>
    </xf>
    <xf numFmtId="9" fontId="7" fillId="0" borderId="0" applyAlignment="1" pivotButton="0" quotePrefix="0" xfId="0">
      <alignment horizontal="general" vertical="top" wrapText="1"/>
    </xf>
    <xf numFmtId="165" fontId="7" fillId="0" borderId="0" applyAlignment="1" pivotButton="0" quotePrefix="0" xfId="0">
      <alignment horizontal="general" vertical="top" wrapText="1"/>
    </xf>
    <xf numFmtId="3" fontId="5" fillId="0" borderId="0" applyAlignment="1" pivotButton="0" quotePrefix="0" xfId="0">
      <alignment horizontal="general" vertical="top" wrapText="1"/>
    </xf>
    <xf numFmtId="2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9" fontId="5" fillId="0" borderId="0" applyAlignment="1" pivotButton="0" quotePrefix="0" xfId="0">
      <alignment horizontal="general" vertical="top" wrapText="1"/>
    </xf>
    <xf numFmtId="1" fontId="7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2" fontId="5" fillId="0" borderId="1" applyAlignment="1" pivotButton="0" quotePrefix="0" xfId="0">
      <alignment horizontal="general" vertical="top" wrapText="1"/>
    </xf>
    <xf numFmtId="165" fontId="5" fillId="0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2" fontId="4" fillId="0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1" fontId="7" fillId="0" borderId="0" applyAlignment="1" pivotButton="0" quotePrefix="0" xfId="0">
      <alignment horizontal="general" vertical="top" wrapText="1"/>
    </xf>
    <xf numFmtId="3" fontId="7" fillId="0" borderId="0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top" wrapText="1"/>
    </xf>
    <xf numFmtId="9" fontId="7" fillId="0" borderId="0" applyAlignment="1" pivotButton="0" quotePrefix="0" xfId="0">
      <alignment horizontal="general" vertical="top" wrapText="1"/>
    </xf>
    <xf numFmtId="165" fontId="7" fillId="0" borderId="0" applyAlignment="1" pivotButton="0" quotePrefix="0" xfId="0">
      <alignment horizontal="general" vertical="top" wrapText="1"/>
    </xf>
    <xf numFmtId="3" fontId="5" fillId="0" borderId="0" applyAlignment="1" pivotButton="0" quotePrefix="0" xfId="0">
      <alignment horizontal="general" vertical="top" wrapText="1"/>
    </xf>
    <xf numFmtId="2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9" fontId="5" fillId="0" borderId="0" applyAlignment="1" pivotButton="0" quotePrefix="0" xfId="0">
      <alignment horizontal="general" vertical="top" wrapText="1"/>
    </xf>
    <xf numFmtId="1" fontId="7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2" fontId="5" fillId="0" borderId="1" applyAlignment="1" pivotButton="0" quotePrefix="0" xfId="0">
      <alignment horizontal="general" vertical="top" wrapText="1"/>
    </xf>
    <xf numFmtId="165" fontId="5" fillId="0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2" fontId="4" fillId="0" borderId="1" applyAlignment="1" pivotButton="0" quotePrefix="0" xfId="0">
      <alignment horizontal="general" vertical="bottom"/>
    </xf>
    <xf numFmtId="0" fontId="10" fillId="0" borderId="0" pivotButton="0" quotePrefix="0" xfId="0"/>
    <xf numFmtId="0" fontId="5" fillId="6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7" fillId="14" borderId="1" applyAlignment="1" pivotButton="0" quotePrefix="0" xfId="0">
      <alignment horizontal="general" vertical="top" wrapText="1"/>
    </xf>
    <xf numFmtId="0" fontId="4" fillId="14" borderId="1" applyAlignment="1" pivotButton="0" quotePrefix="0" xfId="0">
      <alignment horizontal="general" vertical="top" wrapText="1"/>
    </xf>
    <xf numFmtId="0" fontId="5" fillId="14" borderId="0" applyAlignment="1" pivotButton="0" quotePrefix="0" xfId="0">
      <alignment horizontal="general" vertical="bottom"/>
    </xf>
    <xf numFmtId="0" fontId="7" fillId="14" borderId="0" applyAlignment="1" pivotButton="0" quotePrefix="0" xfId="0">
      <alignment horizontal="general" vertical="bottom"/>
    </xf>
    <xf numFmtId="0" fontId="0" fillId="1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AD3"/>
      <rgbColor rgb="FF993366"/>
      <rgbColor rgb="FFFFF9E6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BDD7EE"/>
      <rgbColor rgb="FFF4B183"/>
      <rgbColor rgb="FFE7E6E6"/>
      <rgbColor rgb="FFF4CCCC"/>
      <rgbColor rgb="FF3366FF"/>
      <rgbColor rgb="FF63BE7B"/>
      <rgbColor rgb="FF99CC00"/>
      <rgbColor rgb="FFFFD966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Author</author>
  </authors>
  <commentList>
    <comment ref="F9" authorId="0" shapeId="0">
      <text>
        <t>PE margin 2.0 K</t>
      </text>
    </comment>
    <comment ref="G9" authorId="0" shapeId="0">
      <text>
        <t>charger supply &gt; 55 C; condenser loop &gt; 65 C (check valve)</t>
      </text>
    </comment>
    <comment ref="F10" authorId="0" shapeId="0">
      <text>
        <t>PE margin 2.0 K</t>
      </text>
    </comment>
    <comment ref="G10" authorId="0" shapeId="0">
      <text>
        <t>charger supply &gt; 55 C; inverter fluid &gt; 60 C; condenser loop &gt; 65 C (check valve)</t>
      </text>
    </comment>
    <comment ref="G11" authorId="0" shapeId="0">
      <text>
        <t>PE margin 0.4 K</t>
      </text>
    </comment>
    <comment ref="G12" authorId="0" shapeId="0">
      <text>
        <t>inverter fluid &gt; 60 C</t>
      </text>
    </comment>
    <comment ref="F13" authorId="0" shapeId="0">
      <text>
        <t>PE margin 2.0 K</t>
      </text>
    </comment>
    <comment ref="G13" authorId="0" shapeId="0">
      <text>
        <t>condenser loop &gt; 65 C (check valve)</t>
      </text>
    </comment>
    <comment ref="G14" authorId="0" shapeId="0">
      <text>
        <t>condenser loop &gt; 65 C (check valve)</t>
      </text>
    </comment>
    <comment ref="C19" authorId="0" shapeId="0">
      <text>
        <t>cell &lt;= BMS L2 cold</t>
      </text>
    </comment>
    <comment ref="D19" authorId="0" shapeId="0">
      <text>
        <t>cell 10-10 C outside 15-35 C</t>
      </text>
    </comment>
    <comment ref="F19" authorId="0" shapeId="0">
      <text>
        <t>cell 40-40 C outside 15-35 C</t>
      </text>
    </comment>
    <comment ref="G19" authorId="0" shapeId="0">
      <text>
        <t>cell &gt;= BMS L2 hot; condenser loop &gt; 65 C (check valve)</t>
      </text>
    </comment>
    <comment ref="C20" authorId="0" shapeId="0">
      <text>
        <t>cell &lt;= BMS L2 cold</t>
      </text>
    </comment>
    <comment ref="D20" authorId="0" shapeId="0">
      <text>
        <t>cell 10-11 C outside 15-35 C</t>
      </text>
    </comment>
    <comment ref="F20" authorId="0" shapeId="0">
      <text>
        <t>cell 38-40 C outside 15-35 C</t>
      </text>
    </comment>
    <comment ref="G20" authorId="0" shapeId="0">
      <text>
        <t>cell &gt;= BMS L2 hot; condenser loop &gt; 65 C (check valve)</t>
      </text>
    </comment>
    <comment ref="C21" authorId="0" shapeId="0">
      <text>
        <t>cell &lt;= BMS L2 cold</t>
      </text>
    </comment>
    <comment ref="D21" authorId="0" shapeId="0">
      <text>
        <t>cell 10-17 C outside 15-35 C</t>
      </text>
    </comment>
    <comment ref="F21" authorId="0" shapeId="0">
      <text>
        <t>cell 32-40 C outside 15-35 C</t>
      </text>
    </comment>
    <comment ref="G21" authorId="0" shapeId="0">
      <text>
        <t>cell &gt;= BMS L2 hot; charger supply &gt; 55 C; condenser loop &gt; 65 C (check valve)</t>
      </text>
    </comment>
    <comment ref="C22" authorId="0" shapeId="0">
      <text>
        <t>cell &lt;= BMS L2 cold</t>
      </text>
    </comment>
    <comment ref="D22" authorId="0" shapeId="0">
      <text>
        <t>cell 10-18 C outside 15-35 C</t>
      </text>
    </comment>
    <comment ref="F22" authorId="0" shapeId="0">
      <text>
        <t>cell 32-40 C outside 15-35 C</t>
      </text>
    </comment>
    <comment ref="G22" authorId="0" shapeId="0">
      <text>
        <t>cell &gt;= BMS L2 hot; charger supply &gt; 55 C; inverter fluid &gt; 60 C; condenser loop &gt; 65 C (check valve)</t>
      </text>
    </comment>
    <comment ref="C23" authorId="0" shapeId="0">
      <text>
        <t>cell &lt;= BMS L2 cold</t>
      </text>
    </comment>
    <comment ref="D23" authorId="0" shapeId="0">
      <text>
        <t>cell 10-14 C outside 15-35 C</t>
      </text>
    </comment>
    <comment ref="F23" authorId="0" shapeId="0">
      <text>
        <t>cell 35-40 C outside 15-35 C</t>
      </text>
    </comment>
    <comment ref="G23" authorId="0" shapeId="0">
      <text>
        <t>cell &gt;= BMS L2 hot; inverter fluid &gt; 60 C; condenser loop &gt; 65 C (check valve)</t>
      </text>
    </comment>
    <comment ref="C24" authorId="0" shapeId="0">
      <text>
        <t>cell &lt;= BMS L2 cold</t>
      </text>
    </comment>
    <comment ref="D24" authorId="0" shapeId="0">
      <text>
        <t>cell 10-12 C outside 15-35 C</t>
      </text>
    </comment>
    <comment ref="F24" authorId="0" shapeId="0">
      <text>
        <t>cell 39-40 C outside 15-35 C</t>
      </text>
    </comment>
    <comment ref="G24" authorId="0" shapeId="0">
      <text>
        <t>cell &gt;= BMS L2 hot; inverter fluid &gt; 60 C; condenser loop &gt; 65 C (check valve)</t>
      </text>
    </comment>
    <comment ref="C25" authorId="0" shapeId="0">
      <text>
        <t>cell &lt;= BMS L2 cold</t>
      </text>
    </comment>
    <comment ref="D25" authorId="0" shapeId="0">
      <text>
        <t>cell 10-14 C outside 15-35 C</t>
      </text>
    </comment>
    <comment ref="F25" authorId="0" shapeId="0">
      <text>
        <t>cell 26-40 C outside 15-35 C</t>
      </text>
    </comment>
    <comment ref="G25" authorId="0" shapeId="0">
      <text>
        <t>cell &gt;= BMS L2 hot; condenser loop &gt; 65 C (check valve)</t>
      </text>
    </comment>
    <comment ref="C26" authorId="0" shapeId="0">
      <text>
        <t>cell 0-14 C outside 15-35 C</t>
      </text>
    </comment>
    <comment ref="D26" authorId="0" shapeId="0">
      <text>
        <t>cell 10-14 C outside 15-35 C</t>
      </text>
    </comment>
    <comment ref="F26" authorId="0" shapeId="0">
      <text>
        <t>cell 26-40 C outside 15-35 C</t>
      </text>
    </comment>
    <comment ref="G26" authorId="0" shapeId="0">
      <text>
        <t>cell &gt;= BMS L2 hot; condenser loop &gt; 65 C (check valve)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88" authorId="0" shapeId="0">
      <text>
        <t>Tchop/Tinv from the 2026-10-10 sweep summary (0.1 K); other columns copied from the baseline at the same ambient. Full precision: results/fault_sweep_20261010_1013.csv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64" min="1" max="1"/>
  </cols>
  <sheetData>
    <row r="1" ht="15" customHeight="1" s="65">
      <c r="A1" s="66" t="inlineStr">
        <is>
          <t>Proto Switcher — Integration DVP + FMEA v1.4 (draft, 2026-10-16) — CSX4091 drivetrain energy decomposition; demo charge limit 2.1 MW / 1,666 A (ground ESS) drives Showcase 2</t>
        </is>
      </c>
    </row>
    <row r="2" ht="15" customHeight="1" s="65">
      <c r="A2" s="67" t="inlineStr">
        <is>
          <t>Purpose: guide final integration at Cerritos -&gt; Huntington -&gt; dead-in-tow -&gt; Jacksonville toward the end-Feb showcase, then the CSX 90-day evaluation.</t>
        </is>
      </c>
    </row>
    <row r="3" ht="23.25" customHeight="1" s="65">
      <c r="A3" s="67" t="inlineStr">
        <is>
          <t>Showcase 1 — Wheels turning: accelerate to 10 mph (TBD), hold 20 min. Showcase 2 — Dynamic charging at 0.5 mph, up to 2 mi or pack full, at the demo charge limit: 2.1 MW at the wire (0.5C of the 4.2 MWh Jacksonville ground ESS) and no more than 1,666 A wire current (2 x 833 A DPS100) (DR-17). The 4.2 MWh here is the wayside ground ESS, not the retired 4.2 MWh locomotive pack.</t>
        </is>
      </c>
    </row>
    <row r="4" ht="23.25" customHeight="1" s="65">
      <c r="A4" s="67" t="inlineStr">
        <is>
          <t>Huntington exit (Dragan, Oct 6): wiring added and audited; HV system Megger; Voltify + Integral SW/FW loaded; idle power-on with zero Class A faults; first movement forward and reverse (Class B faults may be overridden and logged, then fixed in Jacksonville).</t>
        </is>
      </c>
    </row>
    <row r="5" ht="15" customHeight="1" s="65">
      <c r="A5" s="66" t="inlineStr">
        <is>
          <t>Tabs</t>
        </is>
      </c>
    </row>
    <row r="6" ht="15" customHeight="1" s="65">
      <c r="A6" s="67" t="inlineStr">
        <is>
          <t>DVP — every test: gate, site, what it proves, pass line, equipment, criticality, link to FMEA. Status column is editable (dropdown). Yellow rows are new in v0.4.</t>
        </is>
      </c>
    </row>
    <row r="7" ht="23.25" customHeight="1" s="65">
      <c r="A7" s="67" t="inlineStr">
        <is>
          <t>FMEA — what could go wrong, scored S/O/D 1-10. RPN = S x O x D (formula). AP = simplified AIAG-VDA action priority (formula). 'Plain English' column is for execs. Yellow rows are new in v0.4.</t>
        </is>
      </c>
    </row>
    <row r="8" ht="15" customHeight="1" s="65">
      <c r="A8" s="67" t="inlineStr">
        <is>
          <t>Demo Requirements — requirements tagged Stated / Document / Derived / Assumption / Open, with source. Use the Bill decision column.</t>
        </is>
      </c>
    </row>
    <row r="9" ht="15" customHeight="1" s="65">
      <c r="A9" s="67" t="inlineStr">
        <is>
          <t>Fault Classes — A (blocks motion) / B (overridable, logged) / C (information); override rules; fault-code register template.</t>
        </is>
      </c>
    </row>
    <row r="10" ht="23.25" customHeight="1" s="65">
      <c r="A10" s="67" t="inlineStr">
        <is>
          <t>Load Cases &amp; Perf — GP40 reference performance, switcher load cases (trailing tons), EPA switch duty cycle energy estimate, Jacksonville ramp-up matrix. Blue cells are inputs.</t>
        </is>
      </c>
    </row>
    <row r="11" ht="15" customHeight="1" s="65">
      <c r="A11" s="67" t="inlineStr">
        <is>
          <t>Data Logging — signal list, sources, rates and why each is needed (range, performance trend, fault triage). Logging starts at first LV power at Huntington.</t>
        </is>
      </c>
    </row>
    <row r="12" ht="15" customHeight="1" s="65">
      <c r="A12" s="67" t="inlineStr">
        <is>
          <t>Gates — exit criteria per gate (the go/no-go checklist).</t>
        </is>
      </c>
    </row>
    <row r="13" ht="15" customHeight="1" s="65">
      <c r="A13" s="67" t="inlineStr">
        <is>
          <t>Equipment &amp; Access — what the production lead must have on site, per site.</t>
        </is>
      </c>
    </row>
    <row r="14" ht="15" customHeight="1" s="65">
      <c r="A14" s="67" t="inlineStr">
        <is>
          <t>Conflicts (RSK) — contradictions and gaps between sources; proposed RSK entries.</t>
        </is>
      </c>
    </row>
    <row r="15" ht="15" customHeight="1" s="65">
      <c r="A15" s="67" t="inlineStr">
        <is>
          <t>Energy — charge-window model and dead-in-tow standby model. Blue cells are inputs.</t>
        </is>
      </c>
    </row>
    <row r="16" ht="15" customHeight="1" s="65">
      <c r="A16" s="66" t="inlineStr">
        <is>
          <t>v0.4 changes (2026-10-07, from Bill/Dragan call Oct 6)</t>
        </is>
      </c>
    </row>
    <row r="17" ht="23.25" customHeight="1" s="65">
      <c r="A17" s="67" t="inlineStr">
        <is>
          <t>1) G3 is now a REQUIRED Huntington exit gate: H-31 idle readiness, H-12 creep, H-13 first movement fwd/rev. Extended pre-check (H-14..H-18, H-21) moves to optional G3+.</t>
        </is>
      </c>
    </row>
    <row r="18" ht="23.25" customHeight="1" s="65">
      <c r="A18" s="67" t="inlineStr">
        <is>
          <t>2) New Huntington tests: H-29 system Megger, H-30 SW/FW load + version manifest, H-31 idle readiness with fault classes, H-32 data logging live from first power, H-33 electric handbrake works with 72 V off.</t>
        </is>
      </c>
    </row>
    <row r="19" ht="23.25" customHeight="1" s="65">
      <c r="A19" s="67" t="inlineStr">
        <is>
          <t>3) Dead-in-tow: unit acts as a railcar (CCB-2E dead-engine regulator; 49 CFR 229.9 non-complying move; Parts 231/232). Compressor not required. Grounding-switch padlock optional.</t>
        </is>
      </c>
    </row>
    <row r="20" ht="15" customHeight="1" s="65">
      <c r="A20" s="67" t="inlineStr">
        <is>
          <t>4) HSCB not needed for demo; HSCB and MCS tests move to P1 Post-demo (P-03, J-13).</t>
        </is>
      </c>
    </row>
    <row r="21" ht="23.25" customHeight="1" s="65">
      <c r="A21" s="67" t="inlineStr">
        <is>
          <t>5) New G10 performance ramp at Jacksonville (J-14..J-19, non-gating) to trend toward CSX targets: Notch 8 for 15 min and continuous pull at 10 mph. P1 gate (CSX 90-day) holds the pass/fail versions (P-01..P-05).</t>
        </is>
      </c>
    </row>
    <row r="22" ht="15" customHeight="1" s="65">
      <c r="A22" s="67" t="inlineStr">
        <is>
          <t>6) Pack basis corrected to 5.02 MWh (48 batteries, 6 strings, Oct 6 decision). Charge cap 2.5 MW (0.5C). 4.2 MWh Phase 1 retired.</t>
        </is>
      </c>
    </row>
    <row r="23" ht="15" customHeight="1" s="65">
      <c r="A23" s="67" t="inlineStr">
        <is>
          <t>7) FMEA F45..F53 added; F04, F06, F09, F22 updated. RSK-NEW-16..21 added; NEW-02, NEW-03, NEW-11 updated.</t>
        </is>
      </c>
    </row>
    <row r="24" ht="23.25" customHeight="1" s="65">
      <c r="A24" s="67" t="inlineStr">
        <is>
          <t>8) Load case: 20-50 tons/day (as stated) is less than one loaded car. Proposed per-move load cases LC-0..LC-3 and the EPA switch duty cycle (40 CFR 1033.530) as the default energy profile, pending CSX Moncrief data.</t>
        </is>
      </c>
    </row>
    <row r="25" ht="23.25" customHeight="1" s="65">
      <c r="A25" s="110" t="inlineStr">
        <is>
          <t>v1.4 changes (2026-10-16, CSX4091 drivetrain energy decomposition)</t>
        </is>
      </c>
    </row>
    <row r="26" ht="23.25" customHeight="1" s="65">
      <c r="A26" s="69" t="inlineStr">
        <is>
          <t>1) decompose_csx4091.m (loco_system) run on results_csx4091_20261016_0823.mat (Rev C: 42 in wheel, Integral chopper loss, D77 flux, 536 kW cap, regen off). Balance closes exactly (residual 0.0 kWh, Ah vs SOC 0.00%). Chopper loss basis confirmed Integral sim from signals. Output results/decompose_csx4091_20261016_0823.csv. C-26 decomposition half done; numerics half still open.</t>
        </is>
      </c>
    </row>
    <row r="27" ht="23.25" customHeight="1" s="65">
      <c r="A27" s="69" t="inlineStr">
        <is>
          <t>2) Yard day (25.5 h, 813 kWh from the battery, SOC 90 -&gt; 74.4%): aux budget 209 kWh (25.7%), TMS 88.7 (10.9%), aux converter 12.4 (1.5%), motor copper 110.5 (13.6%), chopper 11.4 (1.4%), gear 11.4 (1.4%), battery I2R 0.5, wheel 369.1 (45.4%). Of the wheel energy: rolling 194.4, friction brake 181.6, grade -8.0, aero 1.1. Motoring-window efficiencies: chopper 97.7%, motor 77.4%, gear 97.0%; battery-to-wheel 59.5% while motoring, 45.4% over the day. Loco at standstill 66% of the time; 123 kWh to the aux bus while stopped.</t>
        </is>
      </c>
    </row>
    <row r="28" ht="23.25" customHeight="1" s="65">
      <c r="A28" s="69" t="inlineStr">
        <is>
          <t>3) Corrections: System Model D94 said battery-to-rail ~64% (that was drivetrain energy / battery out); the decomposition gives 45.4% whole day. Model wheel energy is 9-11% above the recorder rail energy (yard 369.1 vs 331.1 kWh; peak2h 85.7 vs 78.4). RSK-NEW-51 friction figure updated (181.6 kWh).</t>
        </is>
      </c>
    </row>
    <row r="29" ht="23.25" customHeight="1" s="65">
      <c r="A29" s="69" t="inlineStr">
        <is>
          <t>4) New RSK-NEW-54 (motor resistance basis, largest drivetrain loss), RSK-NEW-55 (aux + TMS share of daily energy / standstill power management), RSK-NEW-56 (model vs recorder +10%). RSK-NEW-18, -19, -28 annotated. Energy tab: yard-duty days-per-charge block. No FMEA score changes.</t>
        </is>
      </c>
    </row>
    <row r="30" ht="23.25" customHeight="1" s="65">
      <c r="A30" s="110" t="inlineStr">
        <is>
          <t>v1.3 changes (2026-10-16, demo charge limit and Jonathan dashboard review)</t>
        </is>
      </c>
    </row>
    <row r="31" ht="23.25" customHeight="1" s="65">
      <c r="A31" s="69" t="inlineStr">
        <is>
          <t>1) REQUIREMENT: Showcase 2 charge limit is 2.1 MW at the wire (0.5C of the 4.2 MWh Jacksonville ground ESS) and no more than 1,666 A wire current (2 x 833 A DPS100) (Jonathan, dashboard comment 2026-10-12; adopted by Bill 2026-10-16). Replaces the 2.5 MW (0.5C x 5.02 MWh) cap and retires the 3 MW dynamic target for the demo. At the loco this is 0.42C, inside the Jinko 0.5C rating.</t>
        </is>
      </c>
    </row>
    <row r="32" ht="23.25" customHeight="1" s="65">
      <c r="A32" s="69" t="inlineStr">
        <is>
          <t>2) Updated to the limit: README, DR-14/DR-17/DR-23, Energy tab, DVP J-03/J-06/J-09/J-10 and new J-25 (wayside limit verification), FMEA F06, RSK-NEW-03 (closed for demo), -22, -36, -39, Thermal Sweep and System Model notes. S3 (2.5 MW) and S4 (3 MW) become bounding cases above the demo limit; new model trace S9 (2.1 MW) and test C-27.</t>
        </is>
      </c>
    </row>
    <row r="33" ht="23.25" customHeight="1" s="65">
      <c r="A33" s="69" t="inlineStr">
        <is>
          <t>3) Jonathan review (10 dashboard threads, Oct 12-14): RSK-NEW-01 closed (Integral is the only master of the DC-link to TRB-bus contactors); RSK-NEW-04 ITV date Oct 19 target, end of Oct latest, and dynamic charging without the ITV ruled out (new RSK-NEW-52, FMEA F69); RSK-NEW-06 lowered (continuous ground-fault detection exists; check it senses the TRB-bus); RSK-NEW-43 partial control (pantos fold only after the panto contactor panel opens); F05 string-loss response (isolate that string, derate, alert); RSK-NEW-07 adds Jonathan; RSK-NEW-08 owner Jack -&gt; Micah (confirm the row); RSK-NEW-17 rewritten in v1.2 answers the Notch 8 question.</t>
        </is>
      </c>
    </row>
    <row r="34" ht="15" customHeight="1" s="65">
      <c r="A34" s="69" t="inlineStr">
        <is>
          <t>4) Scores: S/O/D changed only where noted (F06 O 6-&gt;3, F15 O 6-&gt;4); others unchanged pending Bill review.</t>
        </is>
      </c>
    </row>
    <row r="35" ht="15" customHeight="1" s="65">
      <c r="A35" s="110" t="inlineStr">
        <is>
          <t>v1.2 changes (2026-10-16, model Rev C and supplier data)</t>
        </is>
      </c>
    </row>
    <row r="36" ht="23.25" customHeight="1" s="65">
      <c r="A36" s="69" t="inlineStr">
        <is>
          <t>1) Model Rev C (System Model tab): D77 flux from the D77-D78 curve (Jonathan, 40 in / 62:15; legacy fit was 10-26% low below 600 A), D77 ratings 1050 A cont / 1150 A 15 min / 1500 A 5 min, 42 in wheels (to confirm), chopper loss from Integral simulation (2.47 kW at 1170 A, 500 Hz; was 5.25 kW at 1050 A deck basis), motor power cap option 536 / 373 kW.</t>
        </is>
      </c>
    </row>
    <row r="37" ht="15" customHeight="1" s="65">
      <c r="A37" s="69" t="inlineStr">
        <is>
          <t>2) Integral reply (J. Jankowski, 2026-10-15): HV lab test was stall-only, dry, 1000 V / 1000 A for ~5 min, cold plate high 40s C; no measured efficiency. Controls: 2 ms chopper loop, 10 ms CAN and LCC loops, ~22 ms worst case; OC/OV trips local in hardware. AUX-B002: 55 C is the coolant INLET limit; 0.8 bar is nominal at 30 L/min; ~6 C rise at 30 L/min; onboard cold-plate derate. Charger losses vs power still open.</t>
        </is>
      </c>
    </row>
    <row r="38" ht="15" customHeight="1" s="65">
      <c r="A38" s="69" t="inlineStr">
        <is>
          <t>3) CSX4091 Jacksonville yard trace (Aug 26-27, 25.5 h) run on Rev C vs legacy: battery out 812 vs 841 kWh (-3.4%), TMS 89 vs 96 kWh, SOC 90-&gt;74.4% (OPTIMAL). Chiller stayed off on Rev C only because peak cell 27.2 C sits just under the 28 C chiller-on threshold.</t>
        </is>
      </c>
    </row>
    <row r="39" ht="15" customHeight="1" s="65">
      <c r="A39" s="69" t="inlineStr">
        <is>
          <t>4) Notch 8 (S6): the DERATED verdict was a Phase 3 report bug (speed check forced on; Phase 2 defines S6 v_ref as unreachable). Physics: 3,640 t on 0.5% needs 3.17 MW at the rail for 30 mph; 2.144 MW balances at 20.4 mph, 1.49 MW (500 hp/motor) at 14.2 mph. RSK-NEW-17 updated.</t>
        </is>
      </c>
    </row>
    <row r="40" ht="23.25" customHeight="1" s="65">
      <c r="A40" s="69" t="inlineStr">
        <is>
          <t>5) RSK-NEW-17/18/38/39/40 updated; new RSK-NEW-47..51. FMEA F49, F65, F66 text updated (S/O/D unchanged, Bill to re-score). DVP C-24 in progress; new C-25 (Rev C, passed) and C-26 (Rev D, planned); notes on J-17, J-22, H-35.</t>
        </is>
      </c>
    </row>
    <row r="41" ht="15" customHeight="1" s="65">
      <c r="A41" s="69" t="inlineStr">
        <is>
          <t>6) Not in this version: Jonathan v1.1 comments (not accessible from the assistant; add on review).</t>
        </is>
      </c>
    </row>
    <row r="42" ht="15" customHeight="1" s="65">
      <c r="A42" s="66" t="inlineStr">
        <is>
          <t>v1.1 changes (2026-10-10, HSCB retained for demo)</t>
        </is>
      </c>
    </row>
    <row r="43" ht="23.25" customHeight="1" s="65">
      <c r="A43" s="66" t="inlineStr">
        <is>
          <t>1) HSCB retained for the demo; RSK-NEW-16 proposed closed (owner Jonathan Ronai, Integral POC). Basis: the ITV (Integral AUX-B002) is a non-isolated bidirectional buck/boost, so its freewheel diodes let the traction battery feed any roof or charging-bus fault; the ITV-bypass fallback and direct-to-TRB MCS also put the battery on the charge bus. Contactors cannot break this; string fuses are slow and split 6 ways; dynamic charging needs a resettable interrupter. Supersedes v0.4 item 4 (Dragan, Oct 6); Dragan review pending.</t>
        </is>
      </c>
    </row>
    <row r="44" ht="15" customHeight="1" s="65">
      <c r="A44" s="66" t="inlineStr">
        <is>
          <t>2) Closure conditions: (a) Integral confirms the ITV freewheel back-feed path; (b) Jinko pack/string short-circuit impedance (prospective fault current); (c) Secheron trip curve clears it within busbar/cable I2t limits.</t>
        </is>
      </c>
    </row>
    <row r="45" ht="15" customHeight="1" s="65">
      <c r="A45" s="66" t="inlineStr">
        <is>
          <t>3) DVP: J-05 updated; new J-23 (HSCB trip and interlock) replaces P-03; new J-24 (roof bus dead with pantographs down). Gates G7 and P1 updated.</t>
        </is>
      </c>
    </row>
    <row r="46" ht="15" customHeight="1" s="65">
      <c r="A46" s="66" t="inlineStr">
        <is>
          <t>4) FMEA: F09 updated; new F67 (battery back-feed into a roof/charge-bus fault) and F68 (roof bus live through ITV diodes). DR-42 and DR-05 updated. RSK-NEW-43..46 added. System Model L05 and Spares 6.1.2 updated.</t>
        </is>
      </c>
    </row>
    <row r="47" ht="15" customHeight="1" s="65">
      <c r="A47" s="66" t="inlineStr">
        <is>
          <t>5) Not swept: Confluence/Jira (Rovo access denied). No AES charger short-circuit or trip-time data found in Drive.</t>
        </is>
      </c>
    </row>
    <row r="48" ht="15" customHeight="1" s="65">
      <c r="A48" s="66" t="inlineStr">
        <is>
          <t>v1.0 changes (2026-10-10, PE loop update, fault sweep re-run, native model regression)</t>
        </is>
      </c>
    </row>
    <row r="49" ht="15" customHeight="1" s="65">
      <c r="A49" s="66" t="inlineStr">
        <is>
          <t>1) PE loop parameters per Vince KULI review (2026-10-09; 3 SPAL pumps at 4500 rpm, 223 L/min, 40 C): chopper coolant 1180 W/K (was 1430), front inverter 1100 W/K (was 950) on the poc baseline; phase2 baseline frozen. New fault PE_PUMP_1OF3 (one of three pumps out, 95.4% flow).</t>
        </is>
      </c>
    </row>
    <row r="50" ht="23.25" customHeight="1" s="65">
      <c r="A50" s="66" t="inlineStr">
        <is>
          <t>2) Fault Sweep tab re-run 2026-10-10 (20 faults x 20/40/45 C): no verdict or relative-to-baseline changes. Chopper peaks +0.7-0.9 K (less flow per chopper), inverter peaks -0.1 K (more flow). PE_PUMP_1OF3 = SAME at every ambient.</t>
        </is>
      </c>
    </row>
    <row r="51" ht="15" customHeight="1" s="65">
      <c r="A51" s="66" t="inlineStr">
        <is>
          <t>3) Supplier data gaps from the KULI review and the Integral datasheets: chopper loss basis (model 1.5 kW vs KULI 4.0 kW per chopper at 425 A; ITC-0002 lists no losses) and charger coolant limit and flow (AUX-B002: 55 C, location unstated; KULI 40 C: 59.0 C outlet, 29.7 vs 30 L/min per passage). New FMEA F65/F66, RSK-NEW-38..42, tests C-24, H-35, J-22. Data request to Integral via Jonathan (2026-10-10).</t>
        </is>
      </c>
    </row>
    <row r="52" ht="15" customHeight="1" s="65">
      <c r="A52" s="66" t="inlineStr">
        <is>
          <t>4) Model: native Simscape plant (native/loco_native.slx, switchable with the Phase 3 plant via PLANT_ID) passes 11/11 regression cases vs Phase 3 across S1-S8 at 25/40 C, including 8 h, 6 h and 3 MW cases (C-23 passed). Phase 3 solver min-step events at traction transitions logged as RSK-NEW-40.</t>
        </is>
      </c>
    </row>
    <row r="53" ht="15" customHeight="1" s="65">
      <c r="A53" s="66" t="inlineStr">
        <is>
          <t>v0.9 changes (2026-10-08, fault sweep on the POC baseline)</t>
        </is>
      </c>
    </row>
    <row r="54" ht="15" customHeight="1" s="65">
      <c r="A54" s="67" t="inlineStr">
        <is>
          <t>1) Fault Sweep tab replaced: 19 faults x 20/40/45 C on the POC baseline (12 kW heater, POC load budget incl. SPAL fans, MTM COP map, 2.6 kW pumps). New LRU faults: BTMS_24V_PS_TRIP (all pumps) and BTMS_12V_PS_TRIP (all chillers).</t>
        </is>
      </c>
    </row>
    <row r="55" ht="23.25" customHeight="1" s="65">
      <c r="A55" s="67" t="inlineStr">
        <is>
          <t>2) Results match the previous sweep within ~1 K except PE fan loss at 20 C (margin now 8 K, lower aux heat). BTMS 24 V supply trip is as severe as PE pump loss: F61 and the DCC65M24 spare confirmed. C-21 marked re-run.</t>
        </is>
      </c>
    </row>
    <row r="56" ht="15" customHeight="1" s="65">
      <c r="A56" s="67" t="inlineStr">
        <is>
          <t>3) Model fixes behind this run: automatic states evaluated every 1 s (S8 had stayed in SLEEP), UseBudget option, plot autoscale (MODEL_NOTES Phase 3 fixes).</t>
        </is>
      </c>
    </row>
    <row r="57" ht="15" customHeight="1" s="65">
      <c r="A57" s="66" t="inlineStr">
        <is>
          <t>v0.8 changes (2026-10-08, alignment with POC Power Budget Rev B)</t>
        </is>
      </c>
    </row>
    <row r="58" ht="15" customHeight="1" s="65">
      <c r="A58" s="67" t="inlineStr">
        <is>
          <t>1) System Model tab load budget rebuilt from Micah POC Power Budget (IDs, buses 750V/72V/24V_Ctrl/24V_BTMS/12V_BTMS, nominal/peak, converter efficiencies). Totals: ~0.8 kW STANDBY, ~3.6 kW READY/TRACTION + 12.75 kW blowers when moving, ~3.7 kW CHARGING (at the 750 V bus).</t>
        </is>
      </c>
    </row>
    <row r="59" ht="15" customHeight="1" s="65">
      <c r="A59" s="67" t="inlineStr">
        <is>
          <t>2) Model thermal baseline: heater 12 kW (1 x HVH120), 12 kW cooling per MTM, compressor 3 kW nominal / 8 kW peak, pumps 2.6 kW. Radiator fans kept as EMP (KULI) by decision; SPAL VA117 in the POC sheet is a conflict (RSK-NEW-35).</t>
        </is>
      </c>
    </row>
    <row r="60" ht="15" customHeight="1" s="65">
      <c r="A60" s="67" t="inlineStr">
        <is>
          <t>4) New Spares tab: initial risk-based spares plan (75 BOM lines; aligned to Jonathan's targets where higher) from Jonathan's Locomotive Kit FULL BOM, linked to FMEA/RSK/fault sweep; go-kit (Huntington, travels with the loco) vs Jacksonville depot; delta vs BOM spare targets; reduce-when triggers.</t>
        </is>
      </c>
    </row>
    <row r="61" ht="23.85" customHeight="1" s="65">
      <c r="A61" s="67" t="inlineStr">
        <is>
          <t>3) Effects (model): hot-ambient verdicts unchanged; TMS energy +10-16%; cold-soak recovery 0-&gt;5 C now ~4.0 h (was ~1.9 h). F56/F58/F60 and DR-55 updated; RSK-NEW-25 decided; RSK-NEW-34..37 added. Thermal Sweep and Fault Sweep tabs were run on the previous baseline (re-run C-21/C-22).</t>
        </is>
      </c>
    </row>
    <row r="62" ht="15" customHeight="1" s="65">
      <c r="A62" s="66" t="inlineStr">
        <is>
          <t>v0.7 changes (2026-10-08, Phase 3 fault sweep, 54 runs)</t>
        </is>
      </c>
    </row>
    <row r="63">
      <c r="A63" s="67" t="inlineStr">
        <is>
          <t>1) New tab Fault Sweep: verdict and relative-to-baseline matrices, findings, full 54-row results.</t>
        </is>
      </c>
    </row>
    <row r="64">
      <c r="A64" s="67" t="inlineStr">
        <is>
          <t>2) FMEA: F55 occurrence raised (45 C baseline exceeds check valve); F59 updated with timing; new F61 PE pump failure, F62 axle cut-out tonnage, F63 cell temperature sensing bias, F64 traction motor blower loss.</t>
        </is>
      </c>
    </row>
    <row r="65">
      <c r="A65" s="67" t="inlineStr">
        <is>
          <t>3) DVP: C-21 passed; new C-22 (sweep v2: 8 h duty, breakaway resistance), H-34 (PE loop fault detection on the loco). RSK-NEW-30..33.</t>
        </is>
      </c>
    </row>
    <row r="66">
      <c r="A66" s="66" t="inlineStr">
        <is>
          <t>v0.6 changes (2026-10-08, MATLAB Phase 3 system model)</t>
        </is>
      </c>
    </row>
    <row r="67">
      <c r="A67" s="67" t="inlineStr">
        <is>
          <t>1) New tab System Model: Phase 3 structure, auxiliary load budget by operating state (15 loads), fault library (17 faults) mapped to FMEA, team demo results.</t>
        </is>
      </c>
    </row>
    <row r="68">
      <c r="A68" s="67" t="inlineStr">
        <is>
          <t>2) PE radiator fans are hot-day critical: F54 updated; new F59 (PE fan bank failure) and F60 (aux budget assumption); J-20 adds fan status; Data Logging group 18 (TMS actuator status).</t>
        </is>
      </c>
    </row>
    <row r="69">
      <c r="A69" s="67" t="inlineStr">
        <is>
          <t>3) Tests: C-20 Phase 3 regression vs Phase 2 (passed); C-21 fault sweep (planned, feeds FMEA O/D). RSK-NEW-28/29. DR-55.</t>
        </is>
      </c>
    </row>
    <row r="70">
      <c r="A70" s="66" t="inlineStr">
        <is>
          <t>v0.5 changes (2026-10-08, MATLAB Phase 2 thermal sweep, 80 runs)</t>
        </is>
      </c>
    </row>
    <row r="71">
      <c r="A71" s="67" t="inlineStr">
        <is>
          <t>1) New tab Thermal Sweep: verdict matrix (8 scenarios x 0/10/20/40/50 C x soaked/preconditioned) and full MATLAB results (proto_loco Phase 2, verified against Python replica).</t>
        </is>
      </c>
    </row>
    <row r="72">
      <c r="A72" s="67" t="inlineStr">
        <is>
          <t>2) FMEA F54..F58 (PE loop hot ambient, condenser loop/check valves, BMS cold cutoffs, heating setpoint, preconditioning). RSK-NEW-22..27. DR-52..54.</t>
        </is>
      </c>
    </row>
    <row r="73">
      <c r="A73" s="67" t="inlineStr">
        <is>
          <t>3) New tests: C-19 model re-run with measured thermal data; J-20 hot-day PE loop trend; J-21 preconditioning time and energy.</t>
        </is>
      </c>
    </row>
    <row r="74">
      <c r="A74" s="66" t="inlineStr">
        <is>
          <t>Edit rules</t>
        </is>
      </c>
    </row>
    <row r="75">
      <c r="A75" s="67" t="inlineStr">
        <is>
          <t>Edit only: DVP Status/Owner/Notes, FMEA S/O/D/Owner/Action, blue cells on Energy and Load Cases &amp; Perf, Fault register rows. Add tests as new rows; keep IDs unique.</t>
        </is>
      </c>
    </row>
    <row r="76">
      <c r="A76" s="67" t="inlineStr">
        <is>
          <t>Cerritos coverage: Full = proven before ship; Partial = proven at reduced power (one combiner) or on bench; None = first proven on the locomotive.</t>
        </is>
      </c>
    </row>
    <row r="77">
      <c r="A77" s="66" t="inlineStr">
        <is>
          <t>Sources reviewed</t>
        </is>
      </c>
    </row>
    <row r="78">
      <c r="A78" s="67" t="inlineStr">
        <is>
          <t>v0.3 sources plus: Dragan call notes (Bill, Oct 6); voltify_dynamic_charging_demo_plan.md (Oct 6); NYAB CCB-II description (dead engine regulator, 16CP backup); 49 CFR 229.9; 40 CFR 1033.530 (switch duty cycle, notch power levels); GP40 data sheet (54,700 lbf continuous @ 11.1 mph, 62:15, D77).</t>
        </is>
      </c>
    </row>
    <row r="79">
      <c r="A79" s="67" t="inlineStr">
        <is>
          <t>Not swept: CET Jira, Confluence, Smartsheet Gantt, GP40 operating manual (Dragan to send). Values are draft; TBD numbers need owner confirmation.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64" min="1" max="1"/>
    <col width="16" customWidth="1" style="64" min="2" max="2"/>
    <col width="48" customWidth="1" style="64" min="3" max="3"/>
    <col width="36" customWidth="1" style="64" min="4" max="4"/>
    <col width="12" customWidth="1" style="64" min="5" max="5"/>
    <col width="44" customWidth="1" style="64" min="6" max="6"/>
    <col width="14" customWidth="1" style="64" min="7" max="7"/>
    <col width="34" customWidth="1" style="64" min="8" max="8"/>
  </cols>
  <sheetData>
    <row r="1" ht="45.75" customHeight="1" s="65">
      <c r="A1" s="70" t="inlineStr">
        <is>
          <t>ID</t>
        </is>
      </c>
      <c r="B1" s="70" t="inlineStr">
        <is>
          <t>Group</t>
        </is>
      </c>
      <c r="C1" s="70" t="inlineStr">
        <is>
          <t>Requirement</t>
        </is>
      </c>
      <c r="D1" s="70" t="inlineStr">
        <is>
          <t>Value</t>
        </is>
      </c>
      <c r="E1" s="70" t="inlineStr">
        <is>
          <t>Type</t>
        </is>
      </c>
      <c r="F1" s="70" t="inlineStr">
        <is>
          <t>Source</t>
        </is>
      </c>
      <c r="G1" s="70" t="inlineStr">
        <is>
          <t>Bill decision</t>
        </is>
      </c>
      <c r="H1" s="70" t="inlineStr">
        <is>
          <t>Notes</t>
        </is>
      </c>
    </row>
    <row r="2" ht="15" customHeight="1" s="65">
      <c r="A2" s="71" t="inlineStr">
        <is>
          <t>DR-01</t>
        </is>
      </c>
      <c r="B2" s="71" t="inlineStr">
        <is>
          <t>General</t>
        </is>
      </c>
      <c r="C2" s="71" t="inlineStr">
        <is>
          <t>Showcase location and date</t>
        </is>
      </c>
      <c r="D2" s="71" t="inlineStr">
        <is>
          <t>Jacksonville, end of February</t>
        </is>
      </c>
      <c r="E2" s="71" t="inlineStr">
        <is>
          <t>Stated</t>
        </is>
      </c>
      <c r="F2" s="71" t="inlineStr">
        <is>
          <t>Bill, Oct 6</t>
        </is>
      </c>
      <c r="G2" s="71" t="n"/>
      <c r="H2" s="71" t="n"/>
    </row>
    <row r="3" ht="23.25" customHeight="1" s="65">
      <c r="A3" s="71" t="inlineStr">
        <is>
          <t>DR-02</t>
        </is>
      </c>
      <c r="B3" s="71" t="inlineStr">
        <is>
          <t>General</t>
        </is>
      </c>
      <c r="C3" s="71" t="inlineStr">
        <is>
          <t>Demo metrics: wheels turning, traction capability, deployable pantograph, dynamic charging</t>
        </is>
      </c>
      <c r="D3" s="71" t="inlineStr">
        <is>
          <t>4 functions</t>
        </is>
      </c>
      <c r="E3" s="71" t="inlineStr">
        <is>
          <t>Document</t>
        </is>
      </c>
      <c r="F3" s="71" t="inlineStr">
        <is>
          <t>Timeline Status meeting, Oct 6</t>
        </is>
      </c>
      <c r="G3" s="71" t="n"/>
      <c r="H3" s="71" t="n"/>
    </row>
    <row r="4" ht="23.25" customHeight="1" s="65">
      <c r="A4" s="71" t="inlineStr">
        <is>
          <t>DR-03</t>
        </is>
      </c>
      <c r="B4" s="71" t="inlineStr">
        <is>
          <t>General</t>
        </is>
      </c>
      <c r="C4" s="71" t="inlineStr">
        <is>
          <t>CSX operation before the showcase</t>
        </is>
      </c>
      <c r="D4" s="71" t="inlineStr">
        <is>
          <t>1 month; running at Moncrief by ~Jan 20 for ~Feb 20</t>
        </is>
      </c>
      <c r="E4" s="71" t="inlineStr">
        <is>
          <t>Document</t>
        </is>
      </c>
      <c r="F4" s="71" t="inlineStr">
        <is>
          <t>Timeline Status meeting, Oct 6 (Daphna)</t>
        </is>
      </c>
      <c r="G4" s="71" t="n"/>
      <c r="H4" s="71" t="n"/>
    </row>
    <row r="5" ht="15" customHeight="1" s="65">
      <c r="A5" s="71" t="inlineStr">
        <is>
          <t>DR-04</t>
        </is>
      </c>
      <c r="B5" s="71" t="inlineStr">
        <is>
          <t>General</t>
        </is>
      </c>
      <c r="C5" s="71" t="inlineStr">
        <is>
          <t>Wheels turning is shown before pantograph charging</t>
        </is>
      </c>
      <c r="D5" s="71" t="inlineStr">
        <is>
          <t>Order of demos</t>
        </is>
      </c>
      <c r="E5" s="71" t="inlineStr">
        <is>
          <t>Stated</t>
        </is>
      </c>
      <c r="F5" s="71" t="inlineStr">
        <is>
          <t>Bill, Oct 6</t>
        </is>
      </c>
      <c r="G5" s="71" t="n"/>
      <c r="H5" s="71" t="n"/>
    </row>
    <row r="6" ht="15" customHeight="1" s="65">
      <c r="A6" s="71" t="inlineStr">
        <is>
          <t>DR-05</t>
        </is>
      </c>
      <c r="B6" s="71" t="inlineStr">
        <is>
          <t>General</t>
        </is>
      </c>
      <c r="C6" s="71" t="inlineStr">
        <is>
          <t>MCS manual charging not needed for the first month</t>
        </is>
      </c>
      <c r="D6" s="71" t="inlineStr">
        <is>
          <t>Post-demo</t>
        </is>
      </c>
      <c r="E6" s="71" t="inlineStr">
        <is>
          <t>Stated</t>
        </is>
      </c>
      <c r="F6" s="71" t="inlineStr">
        <is>
          <t>Dragan via Bill, Oct 6 call</t>
        </is>
      </c>
      <c r="G6" s="71" t="n"/>
      <c r="H6" s="71" t="inlineStr">
        <is>
          <t>HSCB retained for demo in v1.1 (DR-42)</t>
        </is>
      </c>
    </row>
    <row r="7" ht="15" customHeight="1" s="65">
      <c r="A7" s="71" t="inlineStr">
        <is>
          <t>DR-06</t>
        </is>
      </c>
      <c r="B7" s="71" t="inlineStr">
        <is>
          <t>Showcase 1</t>
        </is>
      </c>
      <c r="C7" s="71" t="inlineStr">
        <is>
          <t>Accelerate and hold steady speed</t>
        </is>
      </c>
      <c r="D7" s="71" t="inlineStr">
        <is>
          <t>20 minutes</t>
        </is>
      </c>
      <c r="E7" s="71" t="inlineStr">
        <is>
          <t>Stated</t>
        </is>
      </c>
      <c r="F7" s="71" t="inlineStr">
        <is>
          <t>Bill, Oct 6 ('assume 20 minutes for now')</t>
        </is>
      </c>
      <c r="G7" s="71" t="n"/>
      <c r="H7" s="71" t="n"/>
    </row>
    <row r="8" ht="15" customHeight="1" s="65">
      <c r="A8" s="71" t="inlineStr">
        <is>
          <t>DR-07</t>
        </is>
      </c>
      <c r="B8" s="71" t="inlineStr">
        <is>
          <t>Showcase 1</t>
        </is>
      </c>
      <c r="C8" s="71" t="inlineStr">
        <is>
          <t>Steady speed</t>
        </is>
      </c>
      <c r="D8" s="71" t="inlineStr">
        <is>
          <t>10 mph</t>
        </is>
      </c>
      <c r="E8" s="71" t="inlineStr">
        <is>
          <t>Assumption</t>
        </is>
      </c>
      <c r="F8" s="71" t="inlineStr">
        <is>
          <t>Yard switcher duty; Bill's speed is TBD</t>
        </is>
      </c>
      <c r="G8" s="71" t="n"/>
      <c r="H8" s="71" t="n"/>
    </row>
    <row r="9" ht="23.25" customHeight="1" s="65">
      <c r="A9" s="71" t="inlineStr">
        <is>
          <t>DR-08</t>
        </is>
      </c>
      <c r="B9" s="71" t="inlineStr">
        <is>
          <t>Showcase 1</t>
        </is>
      </c>
      <c r="C9" s="71" t="inlineStr">
        <is>
          <t>Run in both directions</t>
        </is>
      </c>
      <c r="D9" s="71" t="inlineStr">
        <is>
          <t>Forward and reverse</t>
        </is>
      </c>
      <c r="E9" s="71" t="inlineStr">
        <is>
          <t>Stated</t>
        </is>
      </c>
      <c r="F9" s="71" t="inlineStr">
        <is>
          <t>Dragan via Bill, Oct 6 call</t>
        </is>
      </c>
      <c r="G9" s="71" t="n"/>
      <c r="H9" s="71" t="inlineStr">
        <is>
          <t>Also required for Huntington first movement (DR-29)</t>
        </is>
      </c>
    </row>
    <row r="10" ht="15" customHeight="1" s="65">
      <c r="A10" s="71" t="inlineStr">
        <is>
          <t>DR-09</t>
        </is>
      </c>
      <c r="B10" s="71" t="inlineStr">
        <is>
          <t>Showcase 1</t>
        </is>
      </c>
      <c r="C10" s="71" t="inlineStr">
        <is>
          <t>Light engine, no train attached</t>
        </is>
      </c>
      <c r="D10" s="71" t="inlineStr">
        <is>
          <t>Light engine</t>
        </is>
      </c>
      <c r="E10" s="71" t="inlineStr">
        <is>
          <t>Assumption</t>
        </is>
      </c>
      <c r="F10" s="71" t="inlineStr">
        <is>
          <t>Claude</t>
        </is>
      </c>
      <c r="G10" s="71" t="n"/>
      <c r="H10" s="71" t="n"/>
    </row>
    <row r="11" ht="15" customHeight="1" s="65">
      <c r="A11" s="71" t="inlineStr">
        <is>
          <t>DR-10</t>
        </is>
      </c>
      <c r="B11" s="71" t="inlineStr">
        <is>
          <t>Showcase 1</t>
        </is>
      </c>
      <c r="C11" s="71" t="inlineStr">
        <is>
          <t>Track needed</t>
        </is>
      </c>
      <c r="D11" s="71" t="inlineStr">
        <is>
          <t>~3.3 mi or repeated passes</t>
        </is>
      </c>
      <c r="E11" s="71" t="inlineStr">
        <is>
          <t>Derived</t>
        </is>
      </c>
      <c r="F11" s="71" t="inlineStr">
        <is>
          <t>DR-06 x DR-07</t>
        </is>
      </c>
      <c r="G11" s="71" t="n"/>
      <c r="H11" s="71" t="n"/>
    </row>
    <row r="12" ht="15" customHeight="1" s="65">
      <c r="A12" s="71" t="inlineStr">
        <is>
          <t>DR-11</t>
        </is>
      </c>
      <c r="B12" s="71" t="inlineStr">
        <is>
          <t>Showcase 1</t>
        </is>
      </c>
      <c r="C12" s="71" t="inlineStr">
        <is>
          <t>Battery current limit during runs</t>
        </is>
      </c>
      <c r="D12" s="71" t="inlineStr">
        <is>
          <t>&lt;= 1,884 A peak</t>
        </is>
      </c>
      <c r="E12" s="71" t="inlineStr">
        <is>
          <t>Document</t>
        </is>
      </c>
      <c r="F12" s="71" t="inlineStr">
        <is>
          <t>Voltify-System-Architecture.md, ESS table</t>
        </is>
      </c>
      <c r="G12" s="71" t="n"/>
      <c r="H12" s="71" t="n"/>
    </row>
    <row r="13" ht="15" customHeight="1" s="65">
      <c r="A13" s="71" t="inlineStr">
        <is>
          <t>DR-12</t>
        </is>
      </c>
      <c r="B13" s="71" t="inlineStr">
        <is>
          <t>Showcase 1</t>
        </is>
      </c>
      <c r="C13" s="71" t="inlineStr">
        <is>
          <t>Component temperatures during runs</t>
        </is>
      </c>
      <c r="D13" s="71" t="inlineStr">
        <is>
          <t>Inside supplier limits</t>
        </is>
      </c>
      <c r="E13" s="71" t="inlineStr">
        <is>
          <t>Assumption</t>
        </is>
      </c>
      <c r="F13" s="71" t="inlineStr">
        <is>
          <t>Limits not yet sourced from Integral, Jinko, Maxwell</t>
        </is>
      </c>
      <c r="G13" s="71" t="n"/>
      <c r="H13" s="71" t="n"/>
    </row>
    <row r="14" ht="15" customHeight="1" s="65">
      <c r="A14" s="71" t="inlineStr">
        <is>
          <t>DR-13</t>
        </is>
      </c>
      <c r="B14" s="71" t="inlineStr">
        <is>
          <t>Showcase 2</t>
        </is>
      </c>
      <c r="C14" s="71" t="inlineStr">
        <is>
          <t>Dynamic charging speed and distance</t>
        </is>
      </c>
      <c r="D14" s="71" t="inlineStr">
        <is>
          <t>0.5 mph average, up to 2 mi</t>
        </is>
      </c>
      <c r="E14" s="71" t="inlineStr">
        <is>
          <t>Stated</t>
        </is>
      </c>
      <c r="F14" s="71" t="inlineStr">
        <is>
          <t>Bill, Oct 6</t>
        </is>
      </c>
      <c r="G14" s="71" t="n"/>
      <c r="H14" s="71" t="n"/>
    </row>
    <row r="15" ht="23.25" customHeight="1" s="65">
      <c r="A15" s="74" t="inlineStr">
        <is>
          <t>DR-14</t>
        </is>
      </c>
      <c r="B15" s="74" t="inlineStr">
        <is>
          <t>Showcase 2</t>
        </is>
      </c>
      <c r="C15" s="74" t="inlineStr">
        <is>
          <t>Charge power</t>
        </is>
      </c>
      <c r="D15" s="74" t="inlineStr">
        <is>
          <t>Up to 2.1 MW at the wire (demo charge limit, DR-17)</t>
        </is>
      </c>
      <c r="E15" s="74" t="inlineStr">
        <is>
          <t>Stated</t>
        </is>
      </c>
      <c r="F15" s="74" t="inlineStr">
        <is>
          <t>Bill, Oct 6 (near 2.5 MW); superseded by DR-17 demo limit, Oct 16</t>
        </is>
      </c>
      <c r="G15" s="74" t="n"/>
      <c r="H15" s="74" t="inlineStr">
        <is>
          <t>v1.3: was "Near 2.5 MW"</t>
        </is>
      </c>
    </row>
    <row r="16" ht="15" customHeight="1" s="65">
      <c r="A16" s="71" t="inlineStr">
        <is>
          <t>DR-15</t>
        </is>
      </c>
      <c r="B16" s="71" t="inlineStr">
        <is>
          <t>Showcase 2</t>
        </is>
      </c>
      <c r="C16" s="71" t="inlineStr">
        <is>
          <t>Charge time limited by battery capacity</t>
        </is>
      </c>
      <c r="D16" s="71" t="inlineStr">
        <is>
          <t>Rule</t>
        </is>
      </c>
      <c r="E16" s="71" t="inlineStr">
        <is>
          <t>Stated</t>
        </is>
      </c>
      <c r="F16" s="71" t="inlineStr">
        <is>
          <t>Bill, Oct 6</t>
        </is>
      </c>
      <c r="G16" s="71" t="n"/>
      <c r="H16" s="71" t="n"/>
    </row>
    <row r="17" ht="23.25" customHeight="1" s="65">
      <c r="A17" s="71" t="inlineStr">
        <is>
          <t>DR-16</t>
        </is>
      </c>
      <c r="B17" s="71" t="inlineStr">
        <is>
          <t>Showcase 2</t>
        </is>
      </c>
      <c r="C17" s="71" t="inlineStr">
        <is>
          <t>Pack energy</t>
        </is>
      </c>
      <c r="D17" s="71" t="inlineStr">
        <is>
          <t>5.02 MWh (48 batteries, 6 strings)</t>
        </is>
      </c>
      <c r="E17" s="71" t="inlineStr">
        <is>
          <t>Document</t>
        </is>
      </c>
      <c r="F17" s="71" t="inlineStr">
        <is>
          <t>Dynamic charging demo plan, Oct 6 (confirmed decision)</t>
        </is>
      </c>
      <c r="G17" s="71" t="n"/>
      <c r="H17" s="71" t="inlineStr">
        <is>
          <t>v0.4: 4.2 MWh Phase 1 retired</t>
        </is>
      </c>
    </row>
    <row r="18" ht="34.5" customHeight="1" s="65">
      <c r="A18" s="74" t="inlineStr">
        <is>
          <t>DR-17</t>
        </is>
      </c>
      <c r="B18" s="74" t="inlineStr">
        <is>
          <t>Showcase 2</t>
        </is>
      </c>
      <c r="C18" s="74" t="inlineStr">
        <is>
          <t>Demo charge limit (wayside ground ESS)</t>
        </is>
      </c>
      <c r="D18" s="74" t="inlineStr">
        <is>
          <t>2.1 MW at the wire (0.5C of the 4.2 MWh Jacksonville ground ESS) and no more than 1,666 A wire current (2 x 833 A DPS100)</t>
        </is>
      </c>
      <c r="E18" s="74" t="inlineStr">
        <is>
          <t>Stated</t>
        </is>
      </c>
      <c r="F18" s="74" t="inlineStr">
        <is>
          <t>Jonathan (dashboard comment, 2026-10-12): Jacksonville ground ESS rating and DPS100 converters</t>
        </is>
      </c>
      <c r="G18" s="74" t="inlineStr">
        <is>
          <t>Adopted 2026-10-16: drives Showcase 2</t>
        </is>
      </c>
      <c r="H18" s="74" t="inlineStr">
        <is>
          <t>Loco side 0.42C (inside Jinko 0.5C). Replaces 2.5 MW (0.5C x 5.02 MWh) cap; 3 MW dynamic target retired for the demo (RSK-NEW-03 closed for demo).</t>
        </is>
      </c>
    </row>
    <row r="19" ht="15" customHeight="1" s="65">
      <c r="A19" s="71" t="inlineStr">
        <is>
          <t>DR-18</t>
        </is>
      </c>
      <c r="B19" s="71" t="inlineStr">
        <is>
          <t>Showcase 2</t>
        </is>
      </c>
      <c r="C19" s="71" t="inlineStr">
        <is>
          <t>Usable SOC window</t>
        </is>
      </c>
      <c r="D19" s="71" t="inlineStr">
        <is>
          <t>10-90%</t>
        </is>
      </c>
      <c r="E19" s="71" t="inlineStr">
        <is>
          <t>Assumption</t>
        </is>
      </c>
      <c r="F19" s="71" t="inlineStr">
        <is>
          <t>Claude; replace with Jinko/BMS window</t>
        </is>
      </c>
      <c r="G19" s="71" t="n"/>
      <c r="H19" s="71" t="n"/>
    </row>
    <row r="20" ht="15" customHeight="1" s="65">
      <c r="A20" s="71" t="inlineStr">
        <is>
          <t>DR-19</t>
        </is>
      </c>
      <c r="B20" s="71" t="inlineStr">
        <is>
          <t>Showcase 2</t>
        </is>
      </c>
      <c r="C20" s="71" t="inlineStr">
        <is>
          <t>Start SOC</t>
        </is>
      </c>
      <c r="D20" s="71" t="inlineStr">
        <is>
          <t>&lt;= 20%</t>
        </is>
      </c>
      <c r="E20" s="71" t="inlineStr">
        <is>
          <t>Assumption</t>
        </is>
      </c>
      <c r="F20" s="71" t="inlineStr">
        <is>
          <t>Claude; maximizes charging window</t>
        </is>
      </c>
      <c r="G20" s="71" t="n"/>
      <c r="H20" s="71" t="n"/>
    </row>
    <row r="21" ht="15" customHeight="1" s="65">
      <c r="A21" s="71" t="inlineStr">
        <is>
          <t>DR-20</t>
        </is>
      </c>
      <c r="B21" s="71" t="inlineStr">
        <is>
          <t>Showcase 2</t>
        </is>
      </c>
      <c r="C21" s="71" t="inlineStr">
        <is>
          <t>Segment A: hold cap while moving</t>
        </is>
      </c>
      <c r="D21" s="71" t="inlineStr">
        <is>
          <t>&gt;= 10 minutes</t>
        </is>
      </c>
      <c r="E21" s="71" t="inlineStr">
        <is>
          <t>Assumption</t>
        </is>
      </c>
      <c r="F21" s="71" t="inlineStr">
        <is>
          <t>Claude</t>
        </is>
      </c>
      <c r="G21" s="71" t="n"/>
      <c r="H21" s="71" t="n"/>
    </row>
    <row r="22" ht="15" customHeight="1" s="65">
      <c r="A22" s="71" t="inlineStr">
        <is>
          <t>DR-21</t>
        </is>
      </c>
      <c r="B22" s="71" t="inlineStr">
        <is>
          <t>Showcase 2</t>
        </is>
      </c>
      <c r="C22" s="71" t="inlineStr">
        <is>
          <t>Segment B: full 2 mi at reduced power</t>
        </is>
      </c>
      <c r="D22" s="71" t="inlineStr">
        <is>
          <t>~1.03 MW</t>
        </is>
      </c>
      <c r="E22" s="71" t="inlineStr">
        <is>
          <t>Derived</t>
        </is>
      </c>
      <c r="F22" s="71" t="inlineStr">
        <is>
          <t>DR-13, DR-16, DR-18</t>
        </is>
      </c>
      <c r="G22" s="71" t="n"/>
      <c r="H22" s="71" t="n"/>
    </row>
    <row r="23" ht="15" customHeight="1" s="65">
      <c r="A23" s="71" t="inlineStr">
        <is>
          <t>DR-22</t>
        </is>
      </c>
      <c r="B23" s="71" t="inlineStr">
        <is>
          <t>Showcase 2</t>
        </is>
      </c>
      <c r="C23" s="71" t="inlineStr">
        <is>
          <t>Pantograph operation</t>
        </is>
      </c>
      <c r="D23" s="71" t="inlineStr">
        <is>
          <t>Automatic</t>
        </is>
      </c>
      <c r="E23" s="71" t="inlineStr">
        <is>
          <t>Document</t>
        </is>
      </c>
      <c r="F23" s="71" t="inlineStr">
        <is>
          <t>HLR, Sep 2026</t>
        </is>
      </c>
      <c r="G23" s="71" t="n"/>
      <c r="H23" s="71" t="n"/>
    </row>
    <row r="24" ht="15" customHeight="1" s="65">
      <c r="A24" s="74" t="inlineStr">
        <is>
          <t>DR-23</t>
        </is>
      </c>
      <c r="B24" s="74" t="inlineStr">
        <is>
          <t>Showcase 2</t>
        </is>
      </c>
      <c r="C24" s="74" t="inlineStr">
        <is>
          <t>Pantographs in contact while charging</t>
        </is>
      </c>
      <c r="D24" s="74" t="inlineStr">
        <is>
          <t>2 heads (971 A each x unbalance factor)</t>
        </is>
      </c>
      <c r="E24" s="74" t="inlineStr">
        <is>
          <t>Document</t>
        </is>
      </c>
      <c r="F24" s="74" t="inlineStr">
        <is>
          <t>HLR, Sep 2026; architecture doc 'two per leg'</t>
        </is>
      </c>
      <c r="G24" s="74" t="n"/>
      <c r="H24" s="74" t="inlineStr">
        <is>
          <t>v1.3: at the 1,666 A wire limit, ~833 A per head with 2 heads (below 971 A per head)</t>
        </is>
      </c>
    </row>
    <row r="25" ht="15" customHeight="1" s="65">
      <c r="A25" s="71" t="inlineStr">
        <is>
          <t>DR-24</t>
        </is>
      </c>
      <c r="B25" s="71" t="inlineStr">
        <is>
          <t>Showcase 2</t>
        </is>
      </c>
      <c r="C25" s="71" t="inlineStr">
        <is>
          <t>Charging losses</t>
        </is>
      </c>
      <c r="D25" s="71" t="inlineStr">
        <is>
          <t>Measure now; deep-dive later</t>
        </is>
      </c>
      <c r="E25" s="71" t="inlineStr">
        <is>
          <t>Stated</t>
        </is>
      </c>
      <c r="F25" s="71" t="inlineStr">
        <is>
          <t>Bill, Oct 6</t>
        </is>
      </c>
      <c r="G25" s="71" t="n"/>
      <c r="H25" s="71" t="n"/>
    </row>
    <row r="26" ht="15" customHeight="1" s="65">
      <c r="A26" s="71" t="inlineStr">
        <is>
          <t>DR-25</t>
        </is>
      </c>
      <c r="B26" s="71" t="inlineStr">
        <is>
          <t>Showcase 2</t>
        </is>
      </c>
      <c r="C26" s="71" t="inlineStr">
        <is>
          <t>No dynamic or regenerative braking on prototype</t>
        </is>
      </c>
      <c r="D26" s="71" t="inlineStr">
        <is>
          <t>Not supported</t>
        </is>
      </c>
      <c r="E26" s="71" t="inlineStr">
        <is>
          <t>Document</t>
        </is>
      </c>
      <c r="F26" s="71" t="inlineStr">
        <is>
          <t>HLR, Sep 2026</t>
        </is>
      </c>
      <c r="G26" s="71" t="n"/>
      <c r="H26" s="71" t="n"/>
    </row>
    <row r="27" ht="15" customHeight="1" s="65">
      <c r="A27" s="71" t="inlineStr">
        <is>
          <t>DR-26</t>
        </is>
      </c>
      <c r="B27" s="71" t="inlineStr">
        <is>
          <t>Tow &amp; sites</t>
        </is>
      </c>
      <c r="C27" s="71" t="inlineStr">
        <is>
          <t>Move Huntington -&gt; Jacksonville</t>
        </is>
      </c>
      <c r="D27" s="71" t="inlineStr">
        <is>
          <t>Dead-in-tow in a CSX train</t>
        </is>
      </c>
      <c r="E27" s="71" t="inlineStr">
        <is>
          <t>Stated</t>
        </is>
      </c>
      <c r="F27" s="71" t="inlineStr">
        <is>
          <t>Bill, Oct 6 (correction)</t>
        </is>
      </c>
      <c r="G27" s="71" t="n"/>
      <c r="H27" s="71" t="n"/>
    </row>
    <row r="28" ht="23.25" customHeight="1" s="65">
      <c r="A28" s="71" t="inlineStr">
        <is>
          <t>DR-27</t>
        </is>
      </c>
      <c r="B28" s="71" t="inlineStr">
        <is>
          <t>Tow &amp; sites</t>
        </is>
      </c>
      <c r="C28" s="71" t="inlineStr">
        <is>
          <t>Cerritos pre-check capability</t>
        </is>
      </c>
      <c r="D28" s="71" t="inlineStr">
        <is>
          <t>Single string/combiner, ~1/6 power, full voltage</t>
        </is>
      </c>
      <c r="E28" s="71" t="inlineStr">
        <is>
          <t>Stated</t>
        </is>
      </c>
      <c r="F28" s="71" t="inlineStr">
        <is>
          <t>Bill, Oct 6</t>
        </is>
      </c>
      <c r="G28" s="71" t="n"/>
      <c r="H28" s="71" t="n"/>
    </row>
    <row r="29" ht="23.25" customHeight="1" s="65">
      <c r="A29" s="71" t="inlineStr">
        <is>
          <t>DR-28</t>
        </is>
      </c>
      <c r="B29" s="71" t="inlineStr">
        <is>
          <t>Tow &amp; sites</t>
        </is>
      </c>
      <c r="C29" s="71" t="inlineStr">
        <is>
          <t>Packs at Huntington</t>
        </is>
      </c>
      <c r="D29" s="71" t="inlineStr">
        <is>
          <t>Arrive with some SOC; manual power-supply charging</t>
        </is>
      </c>
      <c r="E29" s="71" t="inlineStr">
        <is>
          <t>Stated</t>
        </is>
      </c>
      <c r="F29" s="71" t="inlineStr">
        <is>
          <t>Bill, Oct 6</t>
        </is>
      </c>
      <c r="G29" s="71" t="n"/>
      <c r="H29" s="71" t="n"/>
    </row>
    <row r="30" ht="23.25" customHeight="1" s="65">
      <c r="A30" s="71" t="inlineStr">
        <is>
          <t>DR-29</t>
        </is>
      </c>
      <c r="B30" s="71" t="inlineStr">
        <is>
          <t>Tow &amp; sites</t>
        </is>
      </c>
      <c r="C30" s="71" t="inlineStr">
        <is>
          <t>Wheels-turning check at Huntington</t>
        </is>
      </c>
      <c r="D30" s="71" t="inlineStr">
        <is>
          <t>Required: first movement forward and reverse before tow</t>
        </is>
      </c>
      <c r="E30" s="71" t="inlineStr">
        <is>
          <t>Stated</t>
        </is>
      </c>
      <c r="F30" s="71" t="inlineStr">
        <is>
          <t>Dragan via Bill, Oct 6 call</t>
        </is>
      </c>
      <c r="G30" s="71" t="n"/>
      <c r="H30" s="71" t="inlineStr">
        <is>
          <t>20-min run (H-14) stays optional</t>
        </is>
      </c>
    </row>
    <row r="31" ht="23.25" customHeight="1" s="65">
      <c r="A31" s="71" t="inlineStr">
        <is>
          <t>DR-30</t>
        </is>
      </c>
      <c r="B31" s="71" t="inlineStr">
        <is>
          <t>Tow &amp; sites</t>
        </is>
      </c>
      <c r="C31" s="71" t="inlineStr">
        <is>
          <t>Tow SOC window</t>
        </is>
      </c>
      <c r="D31" s="71" t="inlineStr">
        <is>
          <t>30-50%</t>
        </is>
      </c>
      <c r="E31" s="71" t="inlineStr">
        <is>
          <t>Assumption</t>
        </is>
      </c>
      <c r="F31" s="71" t="inlineStr">
        <is>
          <t>Claude; floor ~22% derived; CSX hazmat review needed</t>
        </is>
      </c>
      <c r="G31" s="71" t="n"/>
      <c r="H31" s="71" t="n"/>
    </row>
    <row r="32" ht="23.25" customHeight="1" s="65">
      <c r="A32" s="71" t="inlineStr">
        <is>
          <t>DR-31</t>
        </is>
      </c>
      <c r="B32" s="71" t="inlineStr">
        <is>
          <t>Tow &amp; sites</t>
        </is>
      </c>
      <c r="C32" s="71" t="inlineStr">
        <is>
          <t>Tow monitoring</t>
        </is>
      </c>
      <c r="D32" s="71" t="inlineStr">
        <is>
          <t>Lean telemetry (~60 W) on 72 V battery + logger</t>
        </is>
      </c>
      <c r="E32" s="71" t="inlineStr">
        <is>
          <t>Assumption</t>
        </is>
      </c>
      <c r="F32" s="71" t="inlineStr">
        <is>
          <t>Claude; 72 V battery 650 Ah per GP40-V spec</t>
        </is>
      </c>
      <c r="G32" s="71" t="n"/>
      <c r="H32" s="71" t="n"/>
    </row>
    <row r="33" ht="15" customHeight="1" s="65">
      <c r="A33" s="71" t="inlineStr">
        <is>
          <t>DR-32</t>
        </is>
      </c>
      <c r="B33" s="71" t="inlineStr">
        <is>
          <t>Safety</t>
        </is>
      </c>
      <c r="C33" s="71" t="inlineStr">
        <is>
          <t>E-Stop timing T1, T2, T3</t>
        </is>
      </c>
      <c r="D33" s="71" t="inlineStr">
        <is>
          <t>TBD seconds</t>
        </is>
      </c>
      <c r="E33" s="71" t="inlineStr">
        <is>
          <t>Open</t>
        </is>
      </c>
      <c r="F33" s="71" t="inlineStr">
        <is>
          <t>Proto Switcher deck</t>
        </is>
      </c>
      <c r="G33" s="71" t="n"/>
      <c r="H33" s="71" t="n"/>
    </row>
    <row r="34" ht="15" customHeight="1" s="65">
      <c r="A34" s="71" t="inlineStr">
        <is>
          <t>DR-33</t>
        </is>
      </c>
      <c r="B34" s="71" t="inlineStr">
        <is>
          <t>Not tested in demo</t>
        </is>
      </c>
      <c r="C34" s="71" t="inlineStr">
        <is>
          <t>Operating temperature range</t>
        </is>
      </c>
      <c r="D34" s="71" t="inlineStr">
        <is>
          <t>-30 C to +55 C</t>
        </is>
      </c>
      <c r="E34" s="71" t="inlineStr">
        <is>
          <t>Document</t>
        </is>
      </c>
      <c r="F34" s="71" t="inlineStr">
        <is>
          <t>HLR, Sep 2026</t>
        </is>
      </c>
      <c r="G34" s="71" t="n"/>
      <c r="H34" s="71" t="n"/>
    </row>
    <row r="35" ht="23.25" customHeight="1" s="65">
      <c r="A35" s="71" t="inlineStr">
        <is>
          <t>DR-34</t>
        </is>
      </c>
      <c r="B35" s="71" t="inlineStr">
        <is>
          <t>Not tested in demo</t>
        </is>
      </c>
      <c r="C35" s="71" t="inlineStr">
        <is>
          <t>Tractive effort and power similar to GP40-2</t>
        </is>
      </c>
      <c r="D35" s="71" t="inlineStr">
        <is>
          <t>2,000-3,000 HP</t>
        </is>
      </c>
      <c r="E35" s="71" t="inlineStr">
        <is>
          <t>Document</t>
        </is>
      </c>
      <c r="F35" s="71" t="inlineStr">
        <is>
          <t>HLR and GP40-V spec (gap NEW-12)</t>
        </is>
      </c>
      <c r="G35" s="71" t="n"/>
      <c r="H35" s="71" t="inlineStr">
        <is>
          <t>Now trended at JAX (DR-44, DR-45, DR-51); pass/fail at CSX 90-day</t>
        </is>
      </c>
    </row>
    <row r="36" ht="45.75" customHeight="1" s="65">
      <c r="A36" s="72" t="inlineStr">
        <is>
          <t>DR-35</t>
        </is>
      </c>
      <c r="B36" s="72" t="inlineStr">
        <is>
          <t>Tow &amp; sites</t>
        </is>
      </c>
      <c r="C36" s="72" t="inlineStr">
        <is>
          <t>Dead-in-tow unit behaves as a railcar: CCB-2E dead-engine setup; moved as non-complying locomotive under 49 CFR 229.9 with CSX restrictions; Part 232 Class I brake test; Part 231 safety appliances</t>
        </is>
      </c>
      <c r="D36" s="72" t="inlineStr">
        <is>
          <t>Rule</t>
        </is>
      </c>
      <c r="E36" s="72" t="inlineStr">
        <is>
          <t>Document</t>
        </is>
      </c>
      <c r="F36" s="72" t="inlineStr">
        <is>
          <t>Dragan (Oct 6) + NYAB CCB-II description + 49 CFR 229.9</t>
        </is>
      </c>
      <c r="G36" s="72" t="n"/>
      <c r="H36" s="72" t="inlineStr">
        <is>
          <t>CSX mechanical sets speed/position restrictions</t>
        </is>
      </c>
    </row>
    <row r="37" ht="23.25" customHeight="1" s="65">
      <c r="A37" s="72" t="inlineStr">
        <is>
          <t>DR-36</t>
        </is>
      </c>
      <c r="B37" s="72" t="inlineStr">
        <is>
          <t>Tow &amp; sites</t>
        </is>
      </c>
      <c r="C37" s="72" t="inlineStr">
        <is>
          <t>Brake compressor not required for the tow</t>
        </is>
      </c>
      <c r="D37" s="72" t="inlineStr">
        <is>
          <t>Not required</t>
        </is>
      </c>
      <c r="E37" s="72" t="inlineStr">
        <is>
          <t>Stated</t>
        </is>
      </c>
      <c r="F37" s="72" t="inlineStr">
        <is>
          <t>Dragan via Bill, Oct 6 call</t>
        </is>
      </c>
      <c r="G37" s="72" t="n"/>
      <c r="H37" s="72" t="inlineStr">
        <is>
          <t>MR charged from brake pipe via dead-engine regulator</t>
        </is>
      </c>
    </row>
    <row r="38" ht="23.25" customHeight="1" s="65">
      <c r="A38" s="72" t="inlineStr">
        <is>
          <t>DR-37</t>
        </is>
      </c>
      <c r="B38" s="72" t="inlineStr">
        <is>
          <t>Tow &amp; sites</t>
        </is>
      </c>
      <c r="C38" s="72" t="inlineStr">
        <is>
          <t>Grounding switch padlock during tow</t>
        </is>
      </c>
      <c r="D38" s="72" t="inlineStr">
        <is>
          <t>Optional</t>
        </is>
      </c>
      <c r="E38" s="72" t="inlineStr">
        <is>
          <t>Stated</t>
        </is>
      </c>
      <c r="F38" s="72" t="inlineStr">
        <is>
          <t>Dragan via Bill, Oct 6 call</t>
        </is>
      </c>
      <c r="G38" s="72" t="n"/>
      <c r="H38" s="72" t="inlineStr">
        <is>
          <t>HV contactors still open and verified de-energized</t>
        </is>
      </c>
    </row>
    <row r="39" ht="15" customHeight="1" s="65">
      <c r="A39" s="72" t="inlineStr">
        <is>
          <t>DR-38</t>
        </is>
      </c>
      <c r="B39" s="72" t="inlineStr">
        <is>
          <t>Huntington exit</t>
        </is>
      </c>
      <c r="C39" s="72" t="inlineStr">
        <is>
          <t>All wiring added and audited for accuracy</t>
        </is>
      </c>
      <c r="D39" s="72" t="inlineStr">
        <is>
          <t>100% audited</t>
        </is>
      </c>
      <c r="E39" s="72" t="inlineStr">
        <is>
          <t>Stated</t>
        </is>
      </c>
      <c r="F39" s="72" t="inlineStr">
        <is>
          <t>Dragan via Bill, Oct 6 call</t>
        </is>
      </c>
      <c r="G39" s="72" t="n"/>
      <c r="H39" s="72" t="inlineStr">
        <is>
          <t>H-02</t>
        </is>
      </c>
    </row>
    <row r="40" ht="23.25" customHeight="1" s="65">
      <c r="A40" s="72" t="inlineStr">
        <is>
          <t>DR-39</t>
        </is>
      </c>
      <c r="B40" s="72" t="inlineStr">
        <is>
          <t>Huntington exit</t>
        </is>
      </c>
      <c r="C40" s="72" t="inlineStr">
        <is>
          <t>HV system insulation test (Megger)</t>
        </is>
      </c>
      <c r="D40" s="72" t="inlineStr">
        <is>
          <t>Pass before first HV</t>
        </is>
      </c>
      <c r="E40" s="72" t="inlineStr">
        <is>
          <t>Stated</t>
        </is>
      </c>
      <c r="F40" s="72" t="inlineStr">
        <is>
          <t>Dragan via Bill, Oct 6 call</t>
        </is>
      </c>
      <c r="G40" s="72" t="n"/>
      <c r="H40" s="72" t="inlineStr">
        <is>
          <t>H-29; pass limit TBD (proposed &gt;= 0.75 Mohm at 1,500 V)</t>
        </is>
      </c>
    </row>
    <row r="41" ht="15" customHeight="1" s="65">
      <c r="A41" s="72" t="inlineStr">
        <is>
          <t>DR-40</t>
        </is>
      </c>
      <c r="B41" s="72" t="inlineStr">
        <is>
          <t>Huntington exit</t>
        </is>
      </c>
      <c r="C41" s="72" t="inlineStr">
        <is>
          <t>Software/firmware loaded: Voltify and Integral</t>
        </is>
      </c>
      <c r="D41" s="72" t="inlineStr">
        <is>
          <t>Version manifest signed</t>
        </is>
      </c>
      <c r="E41" s="72" t="inlineStr">
        <is>
          <t>Stated</t>
        </is>
      </c>
      <c r="F41" s="72" t="inlineStr">
        <is>
          <t>Dragan via Bill, Oct 6 call</t>
        </is>
      </c>
      <c r="G41" s="72" t="n"/>
      <c r="H41" s="72" t="inlineStr">
        <is>
          <t>H-30</t>
        </is>
      </c>
    </row>
    <row r="42" ht="34.5" customHeight="1" s="65">
      <c r="A42" s="72" t="inlineStr">
        <is>
          <t>DR-41</t>
        </is>
      </c>
      <c r="B42" s="72" t="inlineStr">
        <is>
          <t>Huntington exit</t>
        </is>
      </c>
      <c r="C42" s="72" t="inlineStr">
        <is>
          <t>Readiness: idle power-on; comm faults minimized; zero Class A faults; Class B may be overridden for movement and fixed at JAX</t>
        </is>
      </c>
      <c r="D42" s="72" t="inlineStr">
        <is>
          <t>Fault classes A/B/C</t>
        </is>
      </c>
      <c r="E42" s="72" t="inlineStr">
        <is>
          <t>Stated</t>
        </is>
      </c>
      <c r="F42" s="72" t="inlineStr">
        <is>
          <t>Dragan via Bill, Oct 6; fault classes confirmed by Bill Oct 7</t>
        </is>
      </c>
      <c r="G42" s="72" t="n"/>
      <c r="H42" s="72" t="inlineStr">
        <is>
          <t>Fault Classes tab; H-31</t>
        </is>
      </c>
    </row>
    <row r="43" ht="15" customHeight="1" s="65">
      <c r="A43" s="72" t="inlineStr">
        <is>
          <t>DR-42</t>
        </is>
      </c>
      <c r="B43" s="72" t="inlineStr">
        <is>
          <t>General</t>
        </is>
      </c>
      <c r="C43" s="72" t="inlineStr">
        <is>
          <t>HSCB retained and functional for the demo (charge-path fault interruption)</t>
        </is>
      </c>
      <c r="D43" s="72" t="inlineStr">
        <is>
          <t>Demo</t>
        </is>
      </c>
      <c r="E43" s="72" t="inlineStr">
        <is>
          <t>Derived</t>
        </is>
      </c>
      <c r="F43" s="72" t="inlineStr">
        <is>
          <t>RSK-NEW-16 closure analysis, Oct 10 (ITV AUX-B002 datasheet; DEMO Loco Config &amp; Fallbacks, Sep 2026)</t>
        </is>
      </c>
      <c r="G43" s="72" t="n"/>
      <c r="H43" s="72" t="inlineStr">
        <is>
          <t>v1.1: supersedes Oct 6 position (Dragan: not needed). Dragan review pending. J-05, J-23; RSK-NEW-16</t>
        </is>
      </c>
    </row>
    <row r="44" ht="23.25" customHeight="1" s="65">
      <c r="A44" s="72" t="inlineStr">
        <is>
          <t>DR-43</t>
        </is>
      </c>
      <c r="B44" s="72" t="inlineStr">
        <is>
          <t>Post-demo</t>
        </is>
      </c>
      <c r="C44" s="72" t="inlineStr">
        <is>
          <t>CSX 90-day evaluation: reasonable interruptions accepted; performance converging to diesel-like by day 90</t>
        </is>
      </c>
      <c r="D44" s="72" t="inlineStr">
        <is>
          <t>90 days</t>
        </is>
      </c>
      <c r="E44" s="72" t="inlineStr">
        <is>
          <t>Stated</t>
        </is>
      </c>
      <c r="F44" s="72" t="inlineStr">
        <is>
          <t>Dragan via Bill, Oct 6 call</t>
        </is>
      </c>
      <c r="G44" s="72" t="n"/>
      <c r="H44" s="72" t="inlineStr">
        <is>
          <t>P1 gate</t>
        </is>
      </c>
    </row>
    <row r="45" ht="23.25" customHeight="1" s="65">
      <c r="A45" s="72" t="inlineStr">
        <is>
          <t>DR-44</t>
        </is>
      </c>
      <c r="B45" s="72" t="inlineStr">
        <is>
          <t>Performance</t>
        </is>
      </c>
      <c r="C45" s="72" t="inlineStr">
        <is>
          <t>Notch 8 (full power) held for 15 minutes</t>
        </is>
      </c>
      <c r="D45" s="72" t="inlineStr">
        <is>
          <t>15 min</t>
        </is>
      </c>
      <c r="E45" s="72" t="inlineStr">
        <is>
          <t>Stated</t>
        </is>
      </c>
      <c r="F45" s="72" t="inlineStr">
        <is>
          <t>Dragan recollection; confirm in GP40 manual</t>
        </is>
      </c>
      <c r="G45" s="72" t="n"/>
      <c r="H45" s="72" t="inlineStr">
        <is>
          <t>~2.5 MW at battery = ESS peak (Load Cases tab); v1.3: Notch 8 is power-limited at 2.144 MW (RSK-NEW-17); unrelated to the charge limit</t>
        </is>
      </c>
    </row>
    <row r="46" ht="23.25" customHeight="1" s="65">
      <c r="A46" s="72" t="inlineStr">
        <is>
          <t>DR-45</t>
        </is>
      </c>
      <c r="B46" s="72" t="inlineStr">
        <is>
          <t>Performance</t>
        </is>
      </c>
      <c r="C46" s="72" t="inlineStr">
        <is>
          <t>Continuous pull at 10 mph sustained</t>
        </is>
      </c>
      <c r="D46" s="72" t="inlineStr">
        <is>
          <t>GP40 ref: 54,700 lbf @ 11.1 mph</t>
        </is>
      </c>
      <c r="E46" s="72" t="inlineStr">
        <is>
          <t>Stated</t>
        </is>
      </c>
      <c r="F46" s="72" t="inlineStr">
        <is>
          <t>Dragan; reference value from GP40 data sheet (thedieselshop.us)</t>
        </is>
      </c>
      <c r="G46" s="72" t="n"/>
      <c r="H46" s="72" t="inlineStr">
        <is>
          <t>~1.25 MW at battery; duration TBD from GP40 manual</t>
        </is>
      </c>
    </row>
    <row r="47" ht="23.25" customHeight="1" s="65">
      <c r="A47" s="72" t="inlineStr">
        <is>
          <t>DR-46</t>
        </is>
      </c>
      <c r="B47" s="72" t="inlineStr">
        <is>
          <t>Duty</t>
        </is>
      </c>
      <c r="C47" s="72" t="inlineStr">
        <is>
          <t>Switcher service: frequent stop/go, fast acceleration</t>
        </is>
      </c>
      <c r="D47" s="72" t="inlineStr">
        <is>
          <t>Switch duty</t>
        </is>
      </c>
      <c r="E47" s="72" t="inlineStr">
        <is>
          <t>Stated</t>
        </is>
      </c>
      <c r="F47" s="72" t="inlineStr">
        <is>
          <t>Dragan via Bill, Oct 6 call</t>
        </is>
      </c>
      <c r="G47" s="72" t="n"/>
      <c r="H47" s="72" t="inlineStr">
        <is>
          <t>EPA switch cycle used as default profile (DR-48)</t>
        </is>
      </c>
    </row>
    <row r="48" ht="23.25" customHeight="1" s="65">
      <c r="A48" s="72" t="inlineStr">
        <is>
          <t>DR-47</t>
        </is>
      </c>
      <c r="B48" s="72" t="inlineStr">
        <is>
          <t>Duty</t>
        </is>
      </c>
      <c r="C48" s="72" t="inlineStr">
        <is>
          <t>Daily load handled at CSX (post-demo)</t>
        </is>
      </c>
      <c r="D48" s="72" t="inlineStr">
        <is>
          <t>20-50 tons/day (as stated)</t>
        </is>
      </c>
      <c r="E48" s="72" t="inlineStr">
        <is>
          <t>Stated</t>
        </is>
      </c>
      <c r="F48" s="72" t="inlineStr">
        <is>
          <t>Dragan via Bill; confirmed "tons" Oct 7</t>
        </is>
      </c>
      <c r="G48" s="72" t="n"/>
      <c r="H48" s="72" t="inlineStr">
        <is>
          <t>Less than one loaded car (~130-143 t); see RSK-NEW-18</t>
        </is>
      </c>
    </row>
    <row r="49" ht="23.25" customHeight="1" s="65">
      <c r="A49" s="72" t="inlineStr">
        <is>
          <t>DR-48</t>
        </is>
      </c>
      <c r="B49" s="72" t="inlineStr">
        <is>
          <t>Duty</t>
        </is>
      </c>
      <c r="C49" s="72" t="inlineStr">
        <is>
          <t>Proposed load cases and duty cycle for test and range</t>
        </is>
      </c>
      <c r="D49" s="72" t="inlineStr">
        <is>
          <t>LC-0..LC-3 + EPA switch cycle; LC-3 = protect case</t>
        </is>
      </c>
      <c r="E49" s="72" t="inlineStr">
        <is>
          <t>Assumption</t>
        </is>
      </c>
      <c r="F49" s="72" t="inlineStr">
        <is>
          <t>Claude: 40 CFR 1033.530; GP40 continuous TE. Bill Oct 7: protect for normal CSX yard ops</t>
        </is>
      </c>
      <c r="G49" s="72" t="n"/>
      <c r="H49" s="72" t="inlineStr">
        <is>
          <t>LC-3 protect case holds unless CSX yard data shows heavier normal cuts</t>
        </is>
      </c>
    </row>
    <row r="50" ht="23.25" customHeight="1" s="65">
      <c r="A50" s="72" t="inlineStr">
        <is>
          <t>DR-49</t>
        </is>
      </c>
      <c r="B50" s="72" t="inlineStr">
        <is>
          <t>Performance</t>
        </is>
      </c>
      <c r="C50" s="72" t="inlineStr">
        <is>
          <t>Range / energy per shift</t>
        </is>
      </c>
      <c r="D50" s="72" t="inlineStr">
        <is>
          <t>Determine empirically</t>
        </is>
      </c>
      <c r="E50" s="72" t="inlineStr">
        <is>
          <t>Open</t>
        </is>
      </c>
      <c r="F50" s="72" t="inlineStr">
        <is>
          <t>Dragan via Bill, Oct 6 call</t>
        </is>
      </c>
      <c r="G50" s="72" t="n"/>
      <c r="H50" s="72" t="inlineStr">
        <is>
          <t>First estimate on Load Cases tab; J-18, J-19</t>
        </is>
      </c>
    </row>
    <row r="51" ht="23.25" customHeight="1" s="65">
      <c r="A51" s="72" t="inlineStr">
        <is>
          <t>DR-50</t>
        </is>
      </c>
      <c r="B51" s="72" t="inlineStr">
        <is>
          <t>Data</t>
        </is>
      </c>
      <c r="C51" s="72" t="inlineStr">
        <is>
          <t>Log required signals from first LV power at Huntington; cloud sync (Starlink, Matan)</t>
        </is>
      </c>
      <c r="D51" s="72" t="inlineStr">
        <is>
          <t>Data Logging tab</t>
        </is>
      </c>
      <c r="E51" s="72" t="inlineStr">
        <is>
          <t>Stated</t>
        </is>
      </c>
      <c r="F51" s="72" t="inlineStr">
        <is>
          <t>Bill/Dragan, Oct 6</t>
        </is>
      </c>
      <c r="G51" s="72" t="n"/>
      <c r="H51" s="72" t="inlineStr">
        <is>
          <t>H-32</t>
        </is>
      </c>
    </row>
    <row r="52" ht="23.25" customHeight="1" s="65">
      <c r="A52" s="72" t="inlineStr">
        <is>
          <t>DR-51</t>
        </is>
      </c>
      <c r="B52" s="72" t="inlineStr">
        <is>
          <t>Performance</t>
        </is>
      </c>
      <c r="C52" s="72" t="inlineStr">
        <is>
          <t>Jacksonville ramp-up test plan shows trend toward DR-44 and DR-45</t>
        </is>
      </c>
      <c r="D52" s="72" t="inlineStr">
        <is>
          <t>Trend, non-gating</t>
        </is>
      </c>
      <c r="E52" s="72" t="inlineStr">
        <is>
          <t>Stated</t>
        </is>
      </c>
      <c r="F52" s="72" t="inlineStr">
        <is>
          <t>Bill, Oct 7</t>
        </is>
      </c>
      <c r="G52" s="72" t="n"/>
      <c r="H52" s="72" t="inlineStr">
        <is>
          <t>J-14..J-17</t>
        </is>
      </c>
    </row>
    <row r="53" ht="23.25" customHeight="1" s="65">
      <c r="A53" s="72" t="inlineStr">
        <is>
          <t>DR-52</t>
        </is>
      </c>
      <c r="B53" s="72" t="inlineStr">
        <is>
          <t>Thermal</t>
        </is>
      </c>
      <c r="C53" s="72" t="inlineStr">
        <is>
          <t>Operating ambient envelope</t>
        </is>
      </c>
      <c r="D53" s="72" t="inlineStr">
        <is>
          <t>TBD (model swept 0-50 C)</t>
        </is>
      </c>
      <c r="E53" s="72" t="inlineStr">
        <is>
          <t>Open</t>
        </is>
      </c>
      <c r="F53" s="72" t="inlineStr">
        <is>
          <t>Maxwell TMS designed for -10 to 45 C</t>
        </is>
      </c>
      <c r="G53" s="72" t="n"/>
      <c r="H53" s="72" t="inlineStr">
        <is>
          <t>Sweep: fails at 50 C (PE + condenser); RSK-NEW-23</t>
        </is>
      </c>
    </row>
    <row r="54" ht="23.25" customHeight="1" s="65">
      <c r="A54" s="72" t="inlineStr">
        <is>
          <t>DR-53</t>
        </is>
      </c>
      <c r="B54" s="72" t="inlineStr">
        <is>
          <t>Thermal</t>
        </is>
      </c>
      <c r="C54" s="72" t="inlineStr">
        <is>
          <t>Pack preconditioned (TMS on standby/wayside) before each duty</t>
        </is>
      </c>
      <c r="D54" s="72" t="inlineStr">
        <is>
          <t>Required to stay OPTIMAL/OK at 0-40 C</t>
        </is>
      </c>
      <c r="E54" s="72" t="inlineStr">
        <is>
          <t>Assumption</t>
        </is>
      </c>
      <c r="F54" s="72" t="inlineStr">
        <is>
          <t>Claude, from Phase 2 sweep (Oct 8)</t>
        </is>
      </c>
      <c r="G54" s="72" t="n"/>
      <c r="H54" s="72" t="inlineStr">
        <is>
          <t>Soaked starts need 1.2-3.6 h recovery; J-21</t>
        </is>
      </c>
    </row>
    <row r="55" ht="34.5" customHeight="1" s="65">
      <c r="A55" s="72" t="inlineStr">
        <is>
          <t>DR-55</t>
        </is>
      </c>
      <c r="B55" s="72" t="inlineStr">
        <is>
          <t>Power</t>
        </is>
      </c>
      <c r="C55" s="72" t="inlineStr">
        <is>
          <t>Auxiliary power budget by operating state (excl. TMS and traction), at the 750 V bus</t>
        </is>
      </c>
      <c r="D55" s="72" t="inlineStr">
        <is>
          <t>~0.8 kW STANDBY, ~3.6 kW READY/TRACTION + 12.75 kW blowers when moving, ~3.7 kW CHARGING</t>
        </is>
      </c>
      <c r="E55" s="72" t="inlineStr">
        <is>
          <t>Document</t>
        </is>
      </c>
      <c r="F55" s="72" t="inlineStr">
        <is>
          <t>POC Power Budget Rev B (Micah, 2026-09-22) via loco_system/load_budget.csv; state mapping is ours</t>
        </is>
      </c>
      <c r="G55" s="72" t="n"/>
      <c r="H55" s="72" t="inlineStr">
        <is>
          <t>Phase 2 assumed 30 kW base + 42 kW moving; validate in H-17/J-18</t>
        </is>
      </c>
    </row>
    <row r="56" ht="23.25" customHeight="1" s="65">
      <c r="A56" s="72" t="inlineStr">
        <is>
          <t>DR-54</t>
        </is>
      </c>
      <c r="B56" s="72" t="inlineStr">
        <is>
          <t>Thermal</t>
        </is>
      </c>
      <c r="C56" s="72" t="inlineStr">
        <is>
          <t>BMS temperature thresholds are owned by Voltify (Jinko as-shipped values adjustable)</t>
        </is>
      </c>
      <c r="D56" s="72" t="inlineStr">
        <is>
          <t>Voltify-set</t>
        </is>
      </c>
      <c r="E56" s="72" t="inlineStr">
        <is>
          <t>Stated</t>
        </is>
      </c>
      <c r="F56" s="72" t="inlineStr">
        <is>
          <t>Bill, Oct 7</t>
        </is>
      </c>
      <c r="G56" s="72" t="n"/>
      <c r="H56" s="72" t="inlineStr">
        <is>
          <t>F56, F57; RSK-NEW-24, -26</t>
        </is>
      </c>
    </row>
    <row r="58" ht="15" customHeight="1" s="65">
      <c r="A58" s="73" t="inlineStr">
        <is>
          <t>Type key: Stated = Bill said it (incl. Dragan relayed by Bill); Document = named file/meeting/regulation; Derived = calculated; Assumption = Claude proposal, needs decision; Open = no value yet.</t>
        </is>
      </c>
    </row>
    <row r="59" ht="15" customHeight="1" s="65">
      <c r="A59" s="73" t="inlineStr">
        <is>
          <t>Stated</t>
        </is>
      </c>
      <c r="C59" s="73">
        <f>COUNTIF(E2:E56,"Stated")</f>
        <v/>
      </c>
    </row>
    <row r="60" ht="15" customHeight="1" s="65">
      <c r="A60" s="73" t="inlineStr">
        <is>
          <t>Document</t>
        </is>
      </c>
      <c r="C60" s="73">
        <f>COUNTIF(E2:E56,"Document")</f>
        <v/>
      </c>
    </row>
    <row r="61" ht="15" customHeight="1" s="65">
      <c r="A61" s="73" t="inlineStr">
        <is>
          <t>Derived</t>
        </is>
      </c>
      <c r="C61" s="73">
        <f>COUNTIF(E2:E56,"Derived")</f>
        <v/>
      </c>
    </row>
    <row r="62" ht="15" customHeight="1" s="65">
      <c r="A62" s="73" t="inlineStr">
        <is>
          <t>Assumption</t>
        </is>
      </c>
      <c r="C62" s="73">
        <f>COUNTIF(E2:E56,"Assumption")</f>
        <v/>
      </c>
    </row>
    <row r="63" ht="15" customHeight="1" s="65">
      <c r="A63" s="73" t="inlineStr">
        <is>
          <t>Open</t>
        </is>
      </c>
      <c r="C63" s="73">
        <f>COUNTIF(E2:E56,"Open")</f>
        <v/>
      </c>
    </row>
  </sheetData>
  <autoFilter ref="A1:H56"/>
  <conditionalFormatting sqref="E2:E56">
    <cfRule type="cellIs" rank="0" priority="2" equalAverage="0" operator="equal" aboveAverage="0" dxfId="7" text="" percent="0" bottom="0">
      <formula>"Assumption"</formula>
    </cfRule>
    <cfRule type="cellIs" rank="0" priority="3" equalAverage="0" operator="equal" aboveAverage="0" dxfId="8" text="" percent="0" bottom="0">
      <formula>"Open"</formula>
    </cfRule>
    <cfRule type="cellIs" rank="0" priority="4" equalAverage="0" operator="equal" aboveAverage="0" dxfId="9" text="" percent="0" bottom="0">
      <formula>"Stated"</formula>
    </cfRule>
  </conditionalFormatting>
  <dataValidations count="1">
    <dataValidation sqref="G2:G56" showDropDown="0" showInputMessage="0" showErrorMessage="0" allowBlank="1" type="list" errorStyle="stop" operator="between">
      <formula1>"Confirmed,Change,Open"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64" min="1" max="1"/>
    <col width="18" customWidth="1" style="64" min="2" max="2"/>
    <col width="12" customWidth="1" style="64" min="3" max="3"/>
    <col width="34" customWidth="1" style="64" min="4" max="4"/>
    <col width="26" customWidth="1" style="64" min="5" max="5"/>
    <col width="14" customWidth="1" style="64" min="6" max="6"/>
    <col width="16" customWidth="1" style="64" min="7" max="7"/>
    <col width="24" customWidth="1" style="64" min="8" max="8"/>
    <col width="40" customWidth="1" style="64" min="9" max="10"/>
    <col width="26" customWidth="1" style="64" min="11" max="11"/>
    <col width="14" customWidth="1" style="64" min="12" max="12"/>
    <col width="13" customWidth="1" style="64" min="13" max="13"/>
    <col width="10" customWidth="1" style="64" min="14" max="14"/>
    <col width="20" customWidth="1" style="64" min="15" max="15"/>
    <col width="28" customWidth="1" style="64" min="16" max="16"/>
    <col width="13" customWidth="1" style="64" min="17" max="17"/>
    <col width="11" customWidth="1" style="64" min="18" max="18"/>
    <col width="24" customWidth="1" style="64" min="19" max="19"/>
  </cols>
  <sheetData>
    <row r="1" ht="45.75" customHeight="1" s="65">
      <c r="A1" s="70" t="inlineStr">
        <is>
          <t>Test ID</t>
        </is>
      </c>
      <c r="B1" s="70" t="inlineStr">
        <is>
          <t>Gate</t>
        </is>
      </c>
      <c r="C1" s="70" t="inlineStr">
        <is>
          <t>Location</t>
        </is>
      </c>
      <c r="D1" s="70" t="inlineStr">
        <is>
          <t>What we prove</t>
        </is>
      </c>
      <c r="E1" s="70" t="inlineStr">
        <is>
          <t>Subsystems</t>
        </is>
      </c>
      <c r="F1" s="70" t="inlineStr">
        <is>
          <t>Owner domain</t>
        </is>
      </c>
      <c r="G1" s="70" t="inlineStr">
        <is>
          <t>Suggested lead</t>
        </is>
      </c>
      <c r="H1" s="70" t="inlineStr">
        <is>
          <t>Preconditions</t>
        </is>
      </c>
      <c r="I1" s="70" t="inlineStr">
        <is>
          <t>Method</t>
        </is>
      </c>
      <c r="J1" s="70" t="inlineStr">
        <is>
          <t>Pass criteria</t>
        </is>
      </c>
      <c r="K1" s="70" t="inlineStr">
        <is>
          <t>Equipment / access</t>
        </is>
      </c>
      <c r="L1" s="70" t="inlineStr">
        <is>
          <t>Showcase criticality</t>
        </is>
      </c>
      <c r="M1" s="70" t="inlineStr">
        <is>
          <t>Cerritos coverage</t>
        </is>
      </c>
      <c r="N1" s="70" t="inlineStr">
        <is>
          <t>FMEA link</t>
        </is>
      </c>
      <c r="O1" s="70" t="inlineStr">
        <is>
          <t>POC tracker (10/01)</t>
        </is>
      </c>
      <c r="P1" s="70" t="inlineStr">
        <is>
          <t>Notes</t>
        </is>
      </c>
      <c r="Q1" s="70" t="inlineStr">
        <is>
          <t>Status</t>
        </is>
      </c>
      <c r="R1" s="70" t="inlineStr">
        <is>
          <t>Date done</t>
        </is>
      </c>
      <c r="S1" s="70" t="inlineStr">
        <is>
          <t>Result / evidence link</t>
        </is>
      </c>
    </row>
    <row r="2" ht="34.5" customHeight="1" s="65">
      <c r="A2" s="71" t="inlineStr">
        <is>
          <t>C-01</t>
        </is>
      </c>
      <c r="B2" s="71" t="inlineStr">
        <is>
          <t>G0 Bench</t>
        </is>
      </c>
      <c r="C2" s="71" t="inlineStr">
        <is>
          <t>Cerritos</t>
        </is>
      </c>
      <c r="D2" s="71" t="inlineStr">
        <is>
          <t>VMS boots and sees every node on all 4 CAN buses + Ethernet</t>
        </is>
      </c>
      <c r="E2" s="71" t="inlineStr">
        <is>
          <t>VMS, Kvaser ETH-CAN gateway, ETH switch</t>
        </is>
      </c>
      <c r="F2" s="71" t="inlineStr">
        <is>
          <t>Voltify</t>
        </is>
      </c>
      <c r="G2" s="71" t="inlineStr">
        <is>
          <t>Micah / Jared</t>
        </is>
      </c>
      <c r="H2" s="71" t="inlineStr">
        <is>
          <t>VMS image under config control (Jared release process)</t>
        </is>
      </c>
      <c r="I2" s="71" t="inlineStr">
        <is>
          <t>Node census script: list every expected node ID per bus; compare to ICD</t>
        </is>
      </c>
      <c r="J2" s="71" t="inlineStr">
        <is>
          <t>100% of expected nodes present; bus load &lt;40%; zero error frames over 30 min</t>
        </is>
      </c>
      <c r="K2" s="71" t="inlineStr">
        <is>
          <t>CAN analyzer, VPN to VMS</t>
        </is>
      </c>
      <c r="L2" s="71" t="inlineStr">
        <is>
          <t>MUST</t>
        </is>
      </c>
      <c r="M2" s="71" t="inlineStr">
        <is>
          <t>Full</t>
        </is>
      </c>
      <c r="N2" s="71" t="inlineStr">
        <is>
          <t>F21</t>
        </is>
      </c>
      <c r="O2" s="71" t="inlineStr">
        <is>
          <t>VMS bring-up; gateway integrated</t>
        </is>
      </c>
      <c r="P2" s="71" t="n"/>
      <c r="Q2" s="71" t="inlineStr">
        <is>
          <t>Not started</t>
        </is>
      </c>
      <c r="R2" s="71" t="n"/>
      <c r="S2" s="71" t="n"/>
    </row>
    <row r="3" ht="34.5" customHeight="1" s="65">
      <c r="A3" s="71" t="inlineStr">
        <is>
          <t>C-02</t>
        </is>
      </c>
      <c r="B3" s="71" t="inlineStr">
        <is>
          <t>G0 Bench</t>
        </is>
      </c>
      <c r="C3" s="71" t="inlineStr">
        <is>
          <t>Cerritos</t>
        </is>
      </c>
      <c r="D3" s="71" t="inlineStr">
        <is>
          <t>LCC&lt;-&gt;VMS CAN spec R2 works end to end (SIL)</t>
        </is>
      </c>
      <c r="E3" s="71" t="inlineStr">
        <is>
          <t>VMS, LCC (Integral code), Simulator v1.4</t>
        </is>
      </c>
      <c r="F3" s="71" t="inlineStr">
        <is>
          <t>Voltify + Integral</t>
        </is>
      </c>
      <c r="G3" s="71" t="inlineStr">
        <is>
          <t>Micah + Bailey (Integral)</t>
        </is>
      </c>
      <c r="H3" s="71" t="inlineStr">
        <is>
          <t>DBC/simulator updated to PGN 65283</t>
        </is>
      </c>
      <c r="I3" s="71" t="inlineStr">
        <is>
          <t>Run Integral LCC build against Voltify simulator; script every message: ready-to-run, power limit, SOC, E-Stop, deep sleep, inverter request/status</t>
        </is>
      </c>
      <c r="J3" s="71" t="inlineStr">
        <is>
          <t>Every PGN decoded both directions; power-limit change honored within 100 ms (TBD); loss-of-message timeout drives safe state</t>
        </is>
      </c>
      <c r="K3" s="71" t="inlineStr">
        <is>
          <t>Simulator v1.4, CAN logs</t>
        </is>
      </c>
      <c r="L3" s="71" t="inlineStr">
        <is>
          <t>MUST</t>
        </is>
      </c>
      <c r="M3" s="71" t="inlineStr">
        <is>
          <t>Full (SIL)</t>
        </is>
      </c>
      <c r="N3" s="71" t="inlineStr">
        <is>
          <t>F21, F22</t>
        </is>
      </c>
      <c r="O3" s="71" t="inlineStr">
        <is>
          <t>LCC not available on bench</t>
        </is>
      </c>
      <c r="P3" s="71" t="inlineStr">
        <is>
          <t>PGN renumbered 65301-&gt;65283 on 10/5</t>
        </is>
      </c>
      <c r="Q3" s="71" t="inlineStr">
        <is>
          <t>Not started</t>
        </is>
      </c>
      <c r="R3" s="71" t="n"/>
      <c r="S3" s="71" t="n"/>
    </row>
    <row r="4" ht="34.5" customHeight="1" s="65">
      <c r="A4" s="71" t="inlineStr">
        <is>
          <t>C-03</t>
        </is>
      </c>
      <c r="B4" s="71" t="inlineStr">
        <is>
          <t>G0 Bench</t>
        </is>
      </c>
      <c r="C4" s="71" t="inlineStr">
        <is>
          <t>Cerritos</t>
        </is>
      </c>
      <c r="D4" s="71" t="inlineStr">
        <is>
          <t>VMS master-BMS reads BCUs and reacts to bad states</t>
        </is>
      </c>
      <c r="E4" s="71" t="inlineStr">
        <is>
          <t>BCUs (Modbus TCP), VMS</t>
        </is>
      </c>
      <c r="F4" s="71" t="inlineStr">
        <is>
          <t>Voltify</t>
        </is>
      </c>
      <c r="G4" s="71" t="inlineStr">
        <is>
          <t>Micah</t>
        </is>
      </c>
      <c r="H4" s="71" t="inlineStr">
        <is>
          <t>BCUs on Ethernet</t>
        </is>
      </c>
      <c r="I4" s="71" t="inlineStr">
        <is>
          <t>Read cell V/T/SOC; inject over-V, under-V, over-T, comm loss (unplug)</t>
        </is>
      </c>
      <c r="J4" s="71" t="inlineStr">
        <is>
          <t>Correct values vs handheld; each fault -&gt; correct derate/open within spec time; comm loss -&gt; contactors open</t>
        </is>
      </c>
      <c r="K4" s="71" t="inlineStr">
        <is>
          <t>Laptop, DMM, heat gun</t>
        </is>
      </c>
      <c r="L4" s="71" t="inlineStr">
        <is>
          <t>MUST</t>
        </is>
      </c>
      <c r="M4" s="71" t="inlineStr">
        <is>
          <t>Partial (1/6)</t>
        </is>
      </c>
      <c r="N4" s="71" t="inlineStr">
        <is>
          <t>F04, F05</t>
        </is>
      </c>
      <c r="O4" s="71" t="inlineStr">
        <is>
          <t>BCUs integrated (12/12 shipped)</t>
        </is>
      </c>
      <c r="P4" s="71" t="inlineStr">
        <is>
          <t>No ESMU on prototype</t>
        </is>
      </c>
      <c r="Q4" s="71" t="inlineStr">
        <is>
          <t>Not started</t>
        </is>
      </c>
      <c r="R4" s="71" t="n"/>
      <c r="S4" s="71" t="n"/>
    </row>
    <row r="5" ht="23.25" customHeight="1" s="65">
      <c r="A5" s="71" t="inlineStr">
        <is>
          <t>C-04</t>
        </is>
      </c>
      <c r="B5" s="71" t="inlineStr">
        <is>
          <t>G0 Bench</t>
        </is>
      </c>
      <c r="C5" s="71" t="inlineStr">
        <is>
          <t>Cerritos</t>
        </is>
      </c>
      <c r="D5" s="71" t="inlineStr">
        <is>
          <t>String connection algorithm prevents paralleling mismatched strings</t>
        </is>
      </c>
      <c r="E5" s="71" t="inlineStr">
        <is>
          <t>Combiner panels, BCUs, VMS</t>
        </is>
      </c>
      <c r="F5" s="71" t="inlineStr">
        <is>
          <t>Voltify</t>
        </is>
      </c>
      <c r="G5" s="71" t="inlineStr">
        <is>
          <t>Micah</t>
        </is>
      </c>
      <c r="H5" s="71" t="inlineStr">
        <is>
          <t>Two strings (one combiner) available</t>
        </is>
      </c>
      <c r="I5" s="71" t="inlineStr">
        <is>
          <t>Set strings at different SOC; command connect</t>
        </is>
      </c>
      <c r="J5" s="71" t="inlineStr">
        <is>
          <t>Connect blocked above dV limit (TBD, e.g. 5 V); allowed below; inrush logged</t>
        </is>
      </c>
      <c r="K5" s="71" t="inlineStr">
        <is>
          <t>2 strings, DC clamp meter</t>
        </is>
      </c>
      <c r="L5" s="71" t="inlineStr">
        <is>
          <t>MUST</t>
        </is>
      </c>
      <c r="M5" s="71" t="inlineStr">
        <is>
          <t>Partial (1 combiner)</t>
        </is>
      </c>
      <c r="N5" s="71" t="inlineStr">
        <is>
          <t>F04</t>
        </is>
      </c>
      <c r="O5" s="71" t="inlineStr">
        <is>
          <t>Combiners not developed</t>
        </is>
      </c>
      <c r="P5" s="71" t="inlineStr">
        <is>
          <t>Define dV limit in VMS</t>
        </is>
      </c>
      <c r="Q5" s="71" t="inlineStr">
        <is>
          <t>Not started</t>
        </is>
      </c>
      <c r="R5" s="71" t="n"/>
      <c r="S5" s="71" t="n"/>
    </row>
    <row r="6" ht="34.5" customHeight="1" s="65">
      <c r="A6" s="71" t="inlineStr">
        <is>
          <t>C-05</t>
        </is>
      </c>
      <c r="B6" s="71" t="inlineStr">
        <is>
          <t>G0 Bench</t>
        </is>
      </c>
      <c r="C6" s="71" t="inlineStr">
        <is>
          <t>Cerritos</t>
        </is>
      </c>
      <c r="D6" s="71" t="inlineStr">
        <is>
          <t>DC-link precharge works with real capacitance</t>
        </is>
      </c>
      <c r="E6" s="71" t="inlineStr">
        <is>
          <t>VMS VIO #1, 400 A precharge resistor, DC-link contactors</t>
        </is>
      </c>
      <c r="F6" s="71" t="inlineStr">
        <is>
          <t>Voltify (ownership TBD vs LCC)</t>
        </is>
      </c>
      <c r="G6" s="71" t="inlineStr">
        <is>
          <t>Mitchell</t>
        </is>
      </c>
      <c r="H6" s="71" t="inlineStr">
        <is>
          <t>Cap bank sized to chopper + LCF (9,200 uF) + ITV (13,770 uF) input</t>
        </is>
      </c>
      <c r="I6" s="71" t="inlineStr">
        <is>
          <t>Precharge at test-rack voltage; scope current and voltage</t>
        </is>
      </c>
      <c r="J6" s="71" t="inlineStr">
        <is>
          <t>Peak current &lt;400 A; reaches &gt;=95% bus V before bypass; resistor temp rise within rating; no welds</t>
        </is>
      </c>
      <c r="K6" s="71" t="inlineStr">
        <is>
          <t>Cap bank, isolated scope, thermocouples</t>
        </is>
      </c>
      <c r="L6" s="71" t="inlineStr">
        <is>
          <t>MUST</t>
        </is>
      </c>
      <c r="M6" s="71" t="inlineStr">
        <is>
          <t>Partial (V/I scaled)</t>
        </is>
      </c>
      <c r="N6" s="71" t="inlineStr">
        <is>
          <t>F02, F03</t>
        </is>
      </c>
      <c r="O6" s="71" t="inlineStr">
        <is>
          <t>DC-link contactors incomplete</t>
        </is>
      </c>
      <c r="P6" s="71" t="inlineStr">
        <is>
          <t>Resolve owner: VMS VIO (arch doc) vs LCC (deck FER page)</t>
        </is>
      </c>
      <c r="Q6" s="71" t="inlineStr">
        <is>
          <t>Not started</t>
        </is>
      </c>
      <c r="R6" s="71" t="n"/>
      <c r="S6" s="71" t="n"/>
    </row>
    <row r="7" ht="45.75" customHeight="1" s="65">
      <c r="A7" s="71" t="inlineStr">
        <is>
          <t>C-06</t>
        </is>
      </c>
      <c r="B7" s="71" t="inlineStr">
        <is>
          <t>G0 Bench</t>
        </is>
      </c>
      <c r="C7" s="71" t="inlineStr">
        <is>
          <t>Cerritos</t>
        </is>
      </c>
      <c r="D7" s="71" t="inlineStr">
        <is>
          <t>E-Stop tree opens everything in the right order (T1/T2/T3)</t>
        </is>
      </c>
      <c r="E7" s="71" t="inlineStr">
        <is>
          <t>E-Stop loop, VIOs, MCS ctrl, Panto ctrl, 750V-PS EN, VMS</t>
        </is>
      </c>
      <c r="F7" s="71" t="inlineStr">
        <is>
          <t>Voltify</t>
        </is>
      </c>
      <c r="G7" s="71" t="inlineStr">
        <is>
          <t>Micah / Mitchell</t>
        </is>
      </c>
      <c r="H7" s="71" t="inlineStr">
        <is>
          <t>T1/T2/T3 values defined</t>
        </is>
      </c>
      <c r="I7" s="71" t="inlineStr">
        <is>
          <t>Press each E-Stop PB; scope every EN line and contactor aux contact</t>
        </is>
      </c>
      <c r="J7" s="71" t="inlineStr">
        <is>
          <t>Order = stop current (T1) -&gt; open charge contactors (T2) -&gt; fold pantos + open battery contactors (T3); all within defined times; restart blocked until reset</t>
        </is>
      </c>
      <c r="K7" s="71" t="inlineStr">
        <is>
          <t>8-ch isolated scope, E-Stop PBs</t>
        </is>
      </c>
      <c r="L7" s="71" t="inlineStr">
        <is>
          <t>MUST</t>
        </is>
      </c>
      <c r="M7" s="71" t="inlineStr">
        <is>
          <t>Full (LV), Partial (HV)</t>
        </is>
      </c>
      <c r="N7" s="71" t="inlineStr">
        <is>
          <t>F01, F37</t>
        </is>
      </c>
      <c r="O7" s="71" t="inlineStr">
        <is>
          <t>Not tested</t>
        </is>
      </c>
      <c r="P7" s="71" t="inlineStr">
        <is>
          <t>T1-T3 are TBD in deck</t>
        </is>
      </c>
      <c r="Q7" s="71" t="inlineStr">
        <is>
          <t>Not started</t>
        </is>
      </c>
      <c r="R7" s="71" t="n"/>
      <c r="S7" s="71" t="n"/>
    </row>
    <row r="8" ht="23.25" customHeight="1" s="65">
      <c r="A8" s="71" t="inlineStr">
        <is>
          <t>C-07</t>
        </is>
      </c>
      <c r="B8" s="71" t="inlineStr">
        <is>
          <t>G0 Bench</t>
        </is>
      </c>
      <c r="C8" s="71" t="inlineStr">
        <is>
          <t>Cerritos</t>
        </is>
      </c>
      <c r="D8" s="71" t="inlineStr">
        <is>
          <t>750V-PS converts and fails safe</t>
        </is>
      </c>
      <c r="E8" s="71" t="inlineStr">
        <is>
          <t>750V-PS (Zekalabs LB-1186)</t>
        </is>
      </c>
      <c r="F8" s="71" t="inlineStr">
        <is>
          <t>Voltify</t>
        </is>
      </c>
      <c r="G8" s="71" t="inlineStr">
        <is>
          <t>Mitchell</t>
        </is>
      </c>
      <c r="H8" s="71" t="inlineStr">
        <is>
          <t>Test rack at 1/6 power; load bank</t>
        </is>
      </c>
      <c r="I8" s="71" t="inlineStr">
        <is>
          <t>Step loads; remove 24 V control power; E-Stop EN</t>
        </is>
      </c>
      <c r="J8" s="71" t="inlineStr">
        <is>
          <t>Regulates 750 V +/- spec; loss of 24 V -&gt; no uncommanded output; EN low -&gt; output off &lt;T1</t>
        </is>
      </c>
      <c r="K8" s="71" t="inlineStr">
        <is>
          <t>HV load bank, DMM</t>
        </is>
      </c>
      <c r="L8" s="71" t="inlineStr">
        <is>
          <t>MUST</t>
        </is>
      </c>
      <c r="M8" s="71" t="inlineStr">
        <is>
          <t>Partial (1/6)</t>
        </is>
      </c>
      <c r="N8" s="71" t="inlineStr">
        <is>
          <t>F18</t>
        </is>
      </c>
      <c r="O8" s="71" t="inlineStr">
        <is>
          <t>Bring-up</t>
        </is>
      </c>
      <c r="P8" s="71" t="n"/>
      <c r="Q8" s="71" t="inlineStr">
        <is>
          <t>Not started</t>
        </is>
      </c>
      <c r="R8" s="71" t="n"/>
      <c r="S8" s="71" t="n"/>
    </row>
    <row r="9" ht="23.25" customHeight="1" s="65">
      <c r="A9" s="71" t="inlineStr">
        <is>
          <t>C-08</t>
        </is>
      </c>
      <c r="B9" s="71" t="inlineStr">
        <is>
          <t>G0 Bench</t>
        </is>
      </c>
      <c r="C9" s="71" t="inlineStr">
        <is>
          <t>Cerritos</t>
        </is>
      </c>
      <c r="D9" s="71" t="inlineStr">
        <is>
          <t>72V-PS powers loco bus and charges starter battery; load shedding</t>
        </is>
      </c>
      <c r="E9" s="71" t="inlineStr">
        <is>
          <t>72V-PS, starter battery, load-shed contactor</t>
        </is>
      </c>
      <c r="F9" s="71" t="inlineStr">
        <is>
          <t>Voltify + donor</t>
        </is>
      </c>
      <c r="G9" s="71" t="inlineStr">
        <is>
          <t>Mitchell</t>
        </is>
      </c>
      <c r="H9" s="71" t="inlineStr">
        <is>
          <t>750V source</t>
        </is>
      </c>
      <c r="I9" s="71" t="inlineStr">
        <is>
          <t>Load steps; battery charge; shed test</t>
        </is>
      </c>
      <c r="J9" s="71" t="inlineStr">
        <is>
          <t>Holds 72 V under step; charges PB battery; load-shed opens at threshold</t>
        </is>
      </c>
      <c r="K9" s="71" t="inlineStr">
        <is>
          <t>72 V load bank, battery</t>
        </is>
      </c>
      <c r="L9" s="71" t="inlineStr">
        <is>
          <t>MUST</t>
        </is>
      </c>
      <c r="M9" s="71" t="inlineStr">
        <is>
          <t>Full</t>
        </is>
      </c>
      <c r="N9" s="71" t="inlineStr">
        <is>
          <t>F17</t>
        </is>
      </c>
      <c r="O9" s="71" t="inlineStr">
        <is>
          <t>Bring-up (shipped)</t>
        </is>
      </c>
      <c r="P9" s="71" t="n"/>
      <c r="Q9" s="71" t="inlineStr">
        <is>
          <t>Not started</t>
        </is>
      </c>
      <c r="R9" s="71" t="n"/>
      <c r="S9" s="71" t="n"/>
    </row>
    <row r="10" ht="34.5" customHeight="1" s="65">
      <c r="A10" s="71" t="inlineStr">
        <is>
          <t>C-09</t>
        </is>
      </c>
      <c r="B10" s="71" t="inlineStr">
        <is>
          <t>G0 Bench</t>
        </is>
      </c>
      <c r="C10" s="71" t="inlineStr">
        <is>
          <t>Cerritos</t>
        </is>
      </c>
      <c r="D10" s="71" t="inlineStr">
        <is>
          <t>Compressor inverter starts and runs the brake compressor</t>
        </is>
      </c>
      <c r="E10" s="71" t="inlineStr">
        <is>
          <t>Compressor-INV, compressor test stand</t>
        </is>
      </c>
      <c r="F10" s="71" t="inlineStr">
        <is>
          <t>Integral (integration) + Voltify</t>
        </is>
      </c>
      <c r="G10" s="71" t="inlineStr">
        <is>
          <t>Dave / Mitchell</t>
        </is>
      </c>
      <c r="H10" s="71" t="inlineStr">
        <is>
          <t>Test stand built</t>
        </is>
      </c>
      <c r="I10" s="71" t="inlineStr">
        <is>
          <t>Start under head pressure; log inrush</t>
        </is>
      </c>
      <c r="J10" s="71" t="inlineStr">
        <is>
          <t>Starts every time at max head pressure; inrush within inverter limit; reservoir fill time logged</t>
        </is>
      </c>
      <c r="K10" s="71" t="inlineStr">
        <is>
          <t>Compressor stand, air tanks, clamp meter</t>
        </is>
      </c>
      <c r="L10" s="71" t="inlineStr">
        <is>
          <t>MUST</t>
        </is>
      </c>
      <c r="M10" s="71" t="inlineStr">
        <is>
          <t>Full</t>
        </is>
      </c>
      <c r="N10" s="71" t="inlineStr">
        <is>
          <t>F19</t>
        </is>
      </c>
      <c r="O10" s="71" t="inlineStr">
        <is>
          <t>Bring-up; Integral integrates</t>
        </is>
      </c>
      <c r="P10" s="71" t="inlineStr">
        <is>
          <t>Inrush ~5-6x FLA per Micah/Dave</t>
        </is>
      </c>
      <c r="Q10" s="71" t="inlineStr">
        <is>
          <t>Not started</t>
        </is>
      </c>
      <c r="R10" s="71" t="n"/>
      <c r="S10" s="71" t="n"/>
    </row>
    <row r="11" ht="23.25" customHeight="1" s="65">
      <c r="A11" s="71" t="inlineStr">
        <is>
          <t>C-10</t>
        </is>
      </c>
      <c r="B11" s="71" t="inlineStr">
        <is>
          <t>G0 Bench</t>
        </is>
      </c>
      <c r="C11" s="71" t="inlineStr">
        <is>
          <t>Cerritos</t>
        </is>
      </c>
      <c r="D11" s="71" t="inlineStr">
        <is>
          <t>Blower inverter runs traction blowers</t>
        </is>
      </c>
      <c r="E11" s="71" t="inlineStr">
        <is>
          <t>Blower-INV</t>
        </is>
      </c>
      <c r="F11" s="71" t="inlineStr">
        <is>
          <t>Integral + Voltify</t>
        </is>
      </c>
      <c r="G11" s="71" t="inlineStr">
        <is>
          <t>Mitchell</t>
        </is>
      </c>
      <c r="H11" s="71" t="inlineStr">
        <is>
          <t>Blower motor or equivalent load</t>
        </is>
      </c>
      <c r="I11" s="71" t="inlineStr">
        <is>
          <t>Run at each speed setpoint</t>
        </is>
      </c>
      <c r="J11" s="71" t="inlineStr">
        <is>
          <t>Stable at Low/Med/High; faults reported on CAN</t>
        </is>
      </c>
      <c r="K11" s="71" t="inlineStr">
        <is>
          <t>Motor load</t>
        </is>
      </c>
      <c r="L11" s="71" t="inlineStr">
        <is>
          <t>SHOULD</t>
        </is>
      </c>
      <c r="M11" s="71" t="inlineStr">
        <is>
          <t>Partial</t>
        </is>
      </c>
      <c r="N11" s="71" t="inlineStr">
        <is>
          <t>F20</t>
        </is>
      </c>
      <c r="O11" s="71" t="inlineStr">
        <is>
          <t>Bring-up; Integral integrates</t>
        </is>
      </c>
      <c r="P11" s="71" t="n"/>
      <c r="Q11" s="71" t="inlineStr">
        <is>
          <t>Not started</t>
        </is>
      </c>
      <c r="R11" s="71" t="n"/>
      <c r="S11" s="71" t="n"/>
    </row>
    <row r="12" ht="34.5" customHeight="1" s="65">
      <c r="A12" s="71" t="inlineStr">
        <is>
          <t>C-11</t>
        </is>
      </c>
      <c r="B12" s="71" t="inlineStr">
        <is>
          <t>G0 Bench</t>
        </is>
      </c>
      <c r="C12" s="71" t="inlineStr">
        <is>
          <t>Cerritos</t>
        </is>
      </c>
      <c r="D12" s="71" t="inlineStr">
        <is>
          <t>Battery thermal module heats and cools on command</t>
        </is>
      </c>
      <c r="E12" s="71" t="inlineStr">
        <is>
          <t>MTM #1, pumps, Therminator/controls, BTMS 12V PS</t>
        </is>
      </c>
      <c r="F12" s="71" t="inlineStr">
        <is>
          <t>Voltify + Maxwell</t>
        </is>
      </c>
      <c r="G12" s="71" t="inlineStr">
        <is>
          <t>Jack / VJ</t>
        </is>
      </c>
      <c r="H12" s="71" t="inlineStr">
        <is>
          <t>Coolant filled (G-48 50/50)</t>
        </is>
      </c>
      <c r="I12" s="71" t="inlineStr">
        <is>
          <t>Command cool and heat; heat-load test</t>
        </is>
      </c>
      <c r="J12" s="71" t="inlineStr">
        <is>
          <t>Coolant temp tracks setpoint; flow and pressure in range; no leaks</t>
        </is>
      </c>
      <c r="K12" s="71" t="inlineStr">
        <is>
          <t>Heat source, flow meters (IFM SU2631)</t>
        </is>
      </c>
      <c r="L12" s="71" t="inlineStr">
        <is>
          <t>SHOULD</t>
        </is>
      </c>
      <c r="M12" s="71" t="inlineStr">
        <is>
          <t>Partial (1 of 3-4 modules)</t>
        </is>
      </c>
      <c r="N12" s="71" t="inlineStr">
        <is>
          <t>F07, F29</t>
        </is>
      </c>
      <c r="O12" s="71" t="inlineStr">
        <is>
          <t>MTM1 bring-up; others N/A</t>
        </is>
      </c>
      <c r="P12" s="71" t="n"/>
      <c r="Q12" s="71" t="inlineStr">
        <is>
          <t>Not started</t>
        </is>
      </c>
      <c r="R12" s="71" t="n"/>
      <c r="S12" s="71" t="n"/>
    </row>
    <row r="13" ht="23.25" customHeight="1" s="65">
      <c r="A13" s="71" t="inlineStr">
        <is>
          <t>C-12</t>
        </is>
      </c>
      <c r="B13" s="71" t="inlineStr">
        <is>
          <t>G0 Bench</t>
        </is>
      </c>
      <c r="C13" s="71" t="inlineStr">
        <is>
          <t>Cerritos</t>
        </is>
      </c>
      <c r="D13" s="71" t="inlineStr">
        <is>
          <t>PE cooling loop flow is balanced</t>
        </is>
      </c>
      <c r="E13" s="71" t="inlineStr">
        <is>
          <t>PE pumps, choppers/ITV cold plates (or dummies)</t>
        </is>
      </c>
      <c r="F13" s="71" t="inlineStr">
        <is>
          <t>Voltify</t>
        </is>
      </c>
      <c r="G13" s="71" t="inlineStr">
        <is>
          <t>VJ / Jack</t>
        </is>
      </c>
      <c r="H13" s="71" t="inlineStr">
        <is>
          <t>Loop plumbed</t>
        </is>
      </c>
      <c r="I13" s="71" t="inlineStr">
        <is>
          <t>Measure flow per branch; pressure test</t>
        </is>
      </c>
      <c r="J13" s="71" t="inlineStr">
        <is>
          <t>Each branch &gt;= required LPM (deck: ~30 LPM chiller loop); hold pressure 30 min</t>
        </is>
      </c>
      <c r="K13" s="71" t="inlineStr">
        <is>
          <t>IFM flow meters, pressure tester</t>
        </is>
      </c>
      <c r="L13" s="71" t="inlineStr">
        <is>
          <t>MUST</t>
        </is>
      </c>
      <c r="M13" s="71" t="inlineStr">
        <is>
          <t>Full</t>
        </is>
      </c>
      <c r="N13" s="71" t="inlineStr">
        <is>
          <t>F30</t>
        </is>
      </c>
      <c r="O13" s="71" t="inlineStr">
        <is>
          <t>PE pump bring-up</t>
        </is>
      </c>
      <c r="P13" s="71" t="n"/>
      <c r="Q13" s="71" t="inlineStr">
        <is>
          <t>Not started</t>
        </is>
      </c>
      <c r="R13" s="71" t="n"/>
      <c r="S13" s="71" t="n"/>
    </row>
    <row r="14" ht="34.5" customHeight="1" s="65">
      <c r="A14" s="71" t="inlineStr">
        <is>
          <t>C-13</t>
        </is>
      </c>
      <c r="B14" s="71" t="inlineStr">
        <is>
          <t>G0 Bench</t>
        </is>
      </c>
      <c r="C14" s="71" t="inlineStr">
        <is>
          <t>Cerritos</t>
        </is>
      </c>
      <c r="D14" s="71" t="inlineStr">
        <is>
          <t>Pantograph raises, folds and senses (one head)</t>
        </is>
      </c>
      <c r="E14" s="71" t="inlineStr">
        <is>
          <t>Pantograph FR, panto controller, HAX 1000-S sensors</t>
        </is>
      </c>
      <c r="F14" s="71" t="inlineStr">
        <is>
          <t>Voltify</t>
        </is>
      </c>
      <c r="G14" s="71" t="inlineStr">
        <is>
          <t>Micah</t>
        </is>
      </c>
      <c r="H14" s="71" t="inlineStr">
        <is>
          <t>Panto on bench</t>
        </is>
      </c>
      <c r="I14" s="71" t="inlineStr">
        <is>
          <t>Raise/fold via CAN; cut 24 V; E-Stop; inject current and polarity</t>
        </is>
      </c>
      <c r="J14" s="71" t="inlineStr">
        <is>
          <t>Raise and fold times logged; fold on E-Stop without MCU; current reads within 2%; polarity reads correctly</t>
        </is>
      </c>
      <c r="K14" s="71" t="inlineStr">
        <is>
          <t>DC current source, HV supply</t>
        </is>
      </c>
      <c r="L14" s="71" t="inlineStr">
        <is>
          <t>MUST</t>
        </is>
      </c>
      <c r="M14" s="71" t="inlineStr">
        <is>
          <t>Partial (no catenary)</t>
        </is>
      </c>
      <c r="N14" s="71" t="inlineStr">
        <is>
          <t>F09, F10</t>
        </is>
      </c>
      <c r="O14" s="71" t="inlineStr">
        <is>
          <t>FR integrated on charging CAN; controller not developed</t>
        </is>
      </c>
      <c r="P14" s="71" t="n"/>
      <c r="Q14" s="71" t="inlineStr">
        <is>
          <t>Not started</t>
        </is>
      </c>
      <c r="R14" s="71" t="n"/>
      <c r="S14" s="71" t="n"/>
    </row>
    <row r="15" ht="23.25" customHeight="1" s="65">
      <c r="A15" s="71" t="inlineStr">
        <is>
          <t>C-14</t>
        </is>
      </c>
      <c r="B15" s="71" t="inlineStr">
        <is>
          <t>G0 Bench</t>
        </is>
      </c>
      <c r="C15" s="71" t="inlineStr">
        <is>
          <t>Cerritos</t>
        </is>
      </c>
      <c r="D15" s="71" t="inlineStr">
        <is>
          <t>Panto contactor panel sequences precharge and discharge</t>
        </is>
      </c>
      <c r="E15" s="71" t="inlineStr">
        <is>
          <t>Panto panel VIO #3, contactors</t>
        </is>
      </c>
      <c r="F15" s="71" t="inlineStr">
        <is>
          <t>Voltify</t>
        </is>
      </c>
      <c r="G15" s="71" t="inlineStr">
        <is>
          <t>Mitchell</t>
        </is>
      </c>
      <c r="H15" s="71" t="inlineStr">
        <is>
          <t>Panel wired</t>
        </is>
      </c>
      <c r="I15" s="71" t="inlineStr">
        <is>
          <t>Command sequence at test voltage</t>
        </is>
      </c>
      <c r="J15" s="71" t="inlineStr">
        <is>
          <t>Correct order; aux feedback matches; discharge to &lt;50 V within spec</t>
        </is>
      </c>
      <c r="K15" s="71" t="inlineStr">
        <is>
          <t>HV supply, scope</t>
        </is>
      </c>
      <c r="L15" s="71" t="inlineStr">
        <is>
          <t>SHOULD</t>
        </is>
      </c>
      <c r="M15" s="71" t="inlineStr">
        <is>
          <t>Partial</t>
        </is>
      </c>
      <c r="N15" s="71" t="inlineStr">
        <is>
          <t>F03, F37</t>
        </is>
      </c>
      <c r="O15" s="71" t="inlineStr">
        <is>
          <t>VIO #3 incomplete</t>
        </is>
      </c>
      <c r="P15" s="71" t="n"/>
      <c r="Q15" s="71" t="inlineStr">
        <is>
          <t>Not started</t>
        </is>
      </c>
      <c r="R15" s="71" t="n"/>
      <c r="S15" s="71" t="n"/>
    </row>
    <row r="16" ht="23.25" customHeight="1" s="65">
      <c r="A16" s="71" t="inlineStr">
        <is>
          <t>C-15</t>
        </is>
      </c>
      <c r="B16" s="71" t="inlineStr">
        <is>
          <t>G0 Bench</t>
        </is>
      </c>
      <c r="C16" s="71" t="inlineStr">
        <is>
          <t>Cerritos</t>
        </is>
      </c>
      <c r="D16" s="71" t="inlineStr">
        <is>
          <t>Grounding switch cannot move until all 4 HV nodes are safe</t>
        </is>
      </c>
      <c r="E16" s="71" t="inlineStr">
        <is>
          <t>RTV, grounding switch, maintenance key</t>
        </is>
      </c>
      <c r="F16" s="71" t="inlineStr">
        <is>
          <t>Voltify</t>
        </is>
      </c>
      <c r="G16" s="71" t="inlineStr">
        <is>
          <t>Micah</t>
        </is>
      </c>
      <c r="H16" s="71" t="inlineStr">
        <is>
          <t>RTV built</t>
        </is>
      </c>
      <c r="I16" s="71" t="inlineStr">
        <is>
          <t>Apply V on each node; try release</t>
        </is>
      </c>
      <c r="J16" s="71" t="inlineStr">
        <is>
          <t>EM releases only when all 4 nodes &lt;50 V for 5 s; any node high blocks</t>
        </is>
      </c>
      <c r="K16" s="71" t="inlineStr">
        <is>
          <t>HV supply, 4 probes</t>
        </is>
      </c>
      <c r="L16" s="71" t="inlineStr">
        <is>
          <t>MUST (safety)</t>
        </is>
      </c>
      <c r="M16" s="71" t="inlineStr">
        <is>
          <t>Full</t>
        </is>
      </c>
      <c r="N16" s="71" t="inlineStr">
        <is>
          <t>F16</t>
        </is>
      </c>
      <c r="O16" s="71" t="inlineStr">
        <is>
          <t>RTV not developed</t>
        </is>
      </c>
      <c r="P16" s="71" t="n"/>
      <c r="Q16" s="71" t="inlineStr">
        <is>
          <t>Not started</t>
        </is>
      </c>
      <c r="R16" s="71" t="n"/>
      <c r="S16" s="71" t="n"/>
    </row>
    <row r="17" ht="23.25" customHeight="1" s="65">
      <c r="A17" s="71" t="inlineStr">
        <is>
          <t>C-16</t>
        </is>
      </c>
      <c r="B17" s="71" t="inlineStr">
        <is>
          <t>G0 Bench</t>
        </is>
      </c>
      <c r="C17" s="71" t="inlineStr">
        <is>
          <t>Cerritos</t>
        </is>
      </c>
      <c r="D17" s="71" t="inlineStr">
        <is>
          <t>Harnesses and panels are insulated before shipping</t>
        </is>
      </c>
      <c r="E17" s="71" t="inlineStr">
        <is>
          <t>All HV harnesses/panels</t>
        </is>
      </c>
      <c r="F17" s="71" t="inlineStr">
        <is>
          <t>Voltify</t>
        </is>
      </c>
      <c r="G17" s="71" t="inlineStr">
        <is>
          <t>Mitchell</t>
        </is>
      </c>
      <c r="H17" s="71" t="inlineStr">
        <is>
          <t>Built assemblies</t>
        </is>
      </c>
      <c r="I17" s="71" t="inlineStr">
        <is>
          <t>Insulation resistance test at 2.5 kV (TBD)</t>
        </is>
      </c>
      <c r="J17" s="71" t="inlineStr">
        <is>
          <t>IR &gt;= agreed limit (proposed 500 ohm/V at 1,500 V = 0.75 Mohm min; use higher internal target)</t>
        </is>
      </c>
      <c r="K17" s="71" t="inlineStr">
        <is>
          <t>Megger 2.5/5 kV</t>
        </is>
      </c>
      <c r="L17" s="71" t="inlineStr">
        <is>
          <t>MUST</t>
        </is>
      </c>
      <c r="M17" s="71" t="inlineStr">
        <is>
          <t>Full</t>
        </is>
      </c>
      <c r="N17" s="71" t="inlineStr">
        <is>
          <t>F15</t>
        </is>
      </c>
      <c r="O17" s="71" t="n"/>
      <c r="P17" s="71" t="n"/>
      <c r="Q17" s="71" t="inlineStr">
        <is>
          <t>Not started</t>
        </is>
      </c>
      <c r="R17" s="71" t="n"/>
      <c r="S17" s="71" t="n"/>
    </row>
    <row r="18" ht="23.25" customHeight="1" s="65">
      <c r="A18" s="71" t="inlineStr">
        <is>
          <t>C-17</t>
        </is>
      </c>
      <c r="B18" s="71" t="inlineStr">
        <is>
          <t>G0 Bench</t>
        </is>
      </c>
      <c r="C18" s="71" t="inlineStr">
        <is>
          <t>Cerritos</t>
        </is>
      </c>
      <c r="D18" s="71" t="inlineStr">
        <is>
          <t>Busbar joints carry rated current without overheating</t>
        </is>
      </c>
      <c r="E18" s="71" t="inlineStr">
        <is>
          <t>TRB busbars, contactor panel bars</t>
        </is>
      </c>
      <c r="F18" s="71" t="inlineStr">
        <is>
          <t>Voltify</t>
        </is>
      </c>
      <c r="G18" s="71" t="inlineStr">
        <is>
          <t>Dave</t>
        </is>
      </c>
      <c r="H18" s="71" t="inlineStr">
        <is>
          <t>Joints torqued and marked</t>
        </is>
      </c>
      <c r="I18" s="71" t="inlineStr">
        <is>
          <t>2,000 A from LV supply; thermal camera</t>
        </is>
      </c>
      <c r="J18" s="71" t="inlineStr">
        <is>
          <t>Joint temp rise within design limit; mV drop per joint logged; torque marks intact</t>
        </is>
      </c>
      <c r="K18" s="71" t="inlineStr">
        <is>
          <t>2,000 A LV supply, IR camera, micro-ohmmeter</t>
        </is>
      </c>
      <c r="L18" s="71" t="inlineStr">
        <is>
          <t>MUST</t>
        </is>
      </c>
      <c r="M18" s="71" t="inlineStr">
        <is>
          <t>Full (current)</t>
        </is>
      </c>
      <c r="N18" s="71" t="inlineStr">
        <is>
          <t>F28</t>
        </is>
      </c>
      <c r="O18" s="71" t="n"/>
      <c r="P18" s="71" t="inlineStr">
        <is>
          <t>Ties to 1,800 A joint study</t>
        </is>
      </c>
      <c r="Q18" s="71" t="inlineStr">
        <is>
          <t>Not started</t>
        </is>
      </c>
      <c r="R18" s="71" t="n"/>
      <c r="S18" s="71" t="n"/>
    </row>
    <row r="19" ht="23.25" customHeight="1" s="65">
      <c r="A19" s="71" t="inlineStr">
        <is>
          <t>C-18</t>
        </is>
      </c>
      <c r="B19" s="71" t="inlineStr">
        <is>
          <t>G0 Bench</t>
        </is>
      </c>
      <c r="C19" s="71" t="inlineStr">
        <is>
          <t>Cerritos</t>
        </is>
      </c>
      <c r="D19" s="71" t="inlineStr">
        <is>
          <t>Deep sleep, wake-up and maintenance mode sequences run end to end</t>
        </is>
      </c>
      <c r="E19" s="71" t="inlineStr">
        <is>
          <t>VMS, VIOs, 750V-PS, TRB contactors, UPS</t>
        </is>
      </c>
      <c r="F19" s="71" t="inlineStr">
        <is>
          <t>Voltify</t>
        </is>
      </c>
      <c r="G19" s="71" t="inlineStr">
        <is>
          <t>Micah</t>
        </is>
      </c>
      <c r="H19" s="71" t="inlineStr">
        <is>
          <t>C-03..C-07 passed</t>
        </is>
      </c>
      <c r="I19" s="71" t="inlineStr">
        <is>
          <t>Run each documented sequence</t>
        </is>
      </c>
      <c r="J19" s="71" t="inlineStr">
        <is>
          <t>Each step in order; parasitic draw in deep sleep logged (target ~50 W)</t>
        </is>
      </c>
      <c r="K19" s="71" t="inlineStr">
        <is>
          <t>Clamp meter</t>
        </is>
      </c>
      <c r="L19" s="71" t="inlineStr">
        <is>
          <t>SHOULD</t>
        </is>
      </c>
      <c r="M19" s="71" t="inlineStr">
        <is>
          <t>Partial</t>
        </is>
      </c>
      <c r="N19" s="71" t="inlineStr">
        <is>
          <t>F17</t>
        </is>
      </c>
      <c r="O19" s="71" t="n"/>
      <c r="P19" s="71" t="n"/>
      <c r="Q19" s="71" t="inlineStr">
        <is>
          <t>Not started</t>
        </is>
      </c>
      <c r="R19" s="71" t="n"/>
      <c r="S19" s="71" t="n"/>
    </row>
    <row r="20" ht="34.5" customHeight="1" s="65">
      <c r="A20" s="72" t="inlineStr">
        <is>
          <t>C-20</t>
        </is>
      </c>
      <c r="B20" s="72" t="inlineStr">
        <is>
          <t>G0 Bench</t>
        </is>
      </c>
      <c r="C20" s="72" t="inlineStr">
        <is>
          <t>Cerritos</t>
        </is>
      </c>
      <c r="D20" s="72" t="inlineStr">
        <is>
          <t>Phase 3 system model reproduces the verified Phase 2 sweep</t>
        </is>
      </c>
      <c r="E20" s="72" t="inlineStr">
        <is>
          <t>loco_system (Stateflow states, load budget, fault injection, +locosys plant)</t>
        </is>
      </c>
      <c r="F20" s="72" t="inlineStr">
        <is>
          <t>Voltify</t>
        </is>
      </c>
      <c r="G20" s="72" t="inlineStr">
        <is>
          <t>Bill</t>
        </is>
      </c>
      <c r="H20" s="72" t="inlineStr">
        <is>
          <t>Phase 2 sweep results</t>
        </is>
      </c>
      <c r="I20" s="72" t="inlineStr">
        <is>
          <t>run_regression_phase2 on S2/S3/S5 at 20 and 50 C (preconditioned); yard-day baseline and hot-day fault demo</t>
        </is>
      </c>
      <c r="J20" s="72" t="inlineStr">
        <is>
          <t>Same verdict; dTcell &lt; 0.5 K; dT PE supply &lt; 1 K; dSOC &lt; 0.01</t>
        </is>
      </c>
      <c r="K20" s="72" t="inlineStr">
        <is>
          <t>MATLAB/Simscape, proto_loco repo</t>
        </is>
      </c>
      <c r="L20" s="72" t="inlineStr">
        <is>
          <t>SHOULD</t>
        </is>
      </c>
      <c r="M20" s="72" t="inlineStr">
        <is>
          <t>Full (model)</t>
        </is>
      </c>
      <c r="N20" s="72" t="inlineStr">
        <is>
          <t>F54, F59</t>
        </is>
      </c>
      <c r="O20" s="72" t="n"/>
      <c r="P20" s="72" t="inlineStr">
        <is>
          <t>Passed 2026-10-08; committed</t>
        </is>
      </c>
      <c r="Q20" s="72" t="inlineStr">
        <is>
          <t>Passed</t>
        </is>
      </c>
      <c r="R20" s="72" t="inlineStr">
        <is>
          <t>2026-10-08</t>
        </is>
      </c>
      <c r="S20" s="72" t="inlineStr">
        <is>
          <t>results/regression_p3_vs_p2_*.csv</t>
        </is>
      </c>
    </row>
    <row r="21" ht="34.5" customHeight="1" s="65">
      <c r="A21" s="72" t="inlineStr">
        <is>
          <t>C-21</t>
        </is>
      </c>
      <c r="B21" s="72" t="inlineStr">
        <is>
          <t>G0 Bench</t>
        </is>
      </c>
      <c r="C21" s="72" t="inlineStr">
        <is>
          <t>Cerritos</t>
        </is>
      </c>
      <c r="D21" s="72" t="inlineStr">
        <is>
          <t>Fault sweep: every fault in the library at 20/40/45 C ranked by effect and time to first limit</t>
        </is>
      </c>
      <c r="E21" s="72" t="inlineStr">
        <is>
          <t>loco_system fault library</t>
        </is>
      </c>
      <c r="F21" s="72" t="inlineStr">
        <is>
          <t>Voltify</t>
        </is>
      </c>
      <c r="G21" s="72" t="inlineStr">
        <is>
          <t>Bill</t>
        </is>
      </c>
      <c r="H21" s="72" t="inlineStr">
        <is>
          <t>C-20</t>
        </is>
      </c>
      <c r="I21" s="72" t="inlineStr">
        <is>
          <t>run_fault_sweep on traces/fault_test_3h.csv; each fault alone from 0.5 h; compare against no-fault baseline</t>
        </is>
      </c>
      <c r="J21" s="72" t="inlineStr">
        <is>
          <t>Ranked table; FMEA O/D and RSK updated from results</t>
        </is>
      </c>
      <c r="K21" s="72" t="inlineStr">
        <is>
          <t>MATLAB/Simscape</t>
        </is>
      </c>
      <c r="L21" s="72" t="inlineStr">
        <is>
          <t>SHOULD</t>
        </is>
      </c>
      <c r="M21" s="72" t="inlineStr">
        <is>
          <t>Full (model)</t>
        </is>
      </c>
      <c r="N21" s="72" t="inlineStr">
        <is>
          <t>F54, F55, F59, F61-F64</t>
        </is>
      </c>
      <c r="O21" s="72" t="n"/>
      <c r="P21" s="72" t="inlineStr">
        <is>
          <t>Run 2026-10-07 (54 runs, 15 min); see Fault Sweep tab</t>
        </is>
      </c>
      <c r="Q21" s="72" t="inlineStr">
        <is>
          <t>Passed</t>
        </is>
      </c>
      <c r="R21" s="72" t="inlineStr">
        <is>
          <t>2026-10-08</t>
        </is>
      </c>
      <c r="S21" s="72" t="inlineStr">
        <is>
          <t>results/fault_sweep_20261007_1600.csv (POC baseline re-run)</t>
        </is>
      </c>
    </row>
    <row r="22" ht="45.75" customHeight="1" s="65">
      <c r="A22" s="72" t="inlineStr">
        <is>
          <t>C-22</t>
        </is>
      </c>
      <c r="B22" s="72" t="inlineStr">
        <is>
          <t>G0 Bench</t>
        </is>
      </c>
      <c r="C22" s="72" t="inlineStr">
        <is>
          <t>Cerritos</t>
        </is>
      </c>
      <c r="D22" s="72" t="inlineStr">
        <is>
          <t>Fault sweep v2: 8 h yard duty, breakaway (starting) resistance, baseline-relative classes</t>
        </is>
      </c>
      <c r="E22" s="72" t="inlineStr">
        <is>
          <t>loco_system</t>
        </is>
      </c>
      <c r="F22" s="72" t="inlineStr">
        <is>
          <t>Voltify</t>
        </is>
      </c>
      <c r="G22" s="72" t="inlineStr">
        <is>
          <t>Bill</t>
        </is>
      </c>
      <c r="H22" s="72" t="inlineStr">
        <is>
          <t>C-21; starting resistance added to vehicle model</t>
        </is>
      </c>
      <c r="I22" s="72" t="inlineStr">
        <is>
          <t>Re-run run_fault_sweep on an 8 h trace (long-duty effects: blower loss, sensor low bias, string loss); add breakaway resistance so starts of heavy trains are checked</t>
        </is>
      </c>
      <c r="J22" s="72" t="inlineStr">
        <is>
          <t>Ranked table; long-duty WATCH items resolved to WORSE/SAME</t>
        </is>
      </c>
      <c r="K22" s="72" t="inlineStr">
        <is>
          <t>MATLAB/Simscape</t>
        </is>
      </c>
      <c r="L22" s="72" t="inlineStr">
        <is>
          <t>SHOULD</t>
        </is>
      </c>
      <c r="M22" s="72" t="inlineStr">
        <is>
          <t>Full (model)</t>
        </is>
      </c>
      <c r="N22" s="72" t="inlineStr">
        <is>
          <t>F62, F63, F64</t>
        </is>
      </c>
      <c r="O22" s="72" t="n"/>
      <c r="P22" s="72" t="inlineStr">
        <is>
          <t>Planned</t>
        </is>
      </c>
      <c r="Q22" s="72" t="inlineStr">
        <is>
          <t>Not started</t>
        </is>
      </c>
      <c r="R22" s="72" t="n"/>
      <c r="S22" s="72" t="n"/>
    </row>
    <row r="23" ht="34.5" customHeight="1" s="65">
      <c r="A23" s="72" t="inlineStr">
        <is>
          <t>C-19</t>
        </is>
      </c>
      <c r="B23" s="72" t="inlineStr">
        <is>
          <t>G0 Bench</t>
        </is>
      </c>
      <c r="C23" s="72" t="inlineStr">
        <is>
          <t>Cerritos</t>
        </is>
      </c>
      <c r="D23" s="72" t="inlineStr">
        <is>
          <t>MATLAB thermal sweep re-run with measured thermal data</t>
        </is>
      </c>
      <c r="E23" s="72" t="inlineStr">
        <is>
          <t>proto_loco Phase 2 model</t>
        </is>
      </c>
      <c r="F23" s="72" t="inlineStr">
        <is>
          <t>Voltify</t>
        </is>
      </c>
      <c r="G23" s="72" t="inlineStr">
        <is>
          <t>Bill + VJ</t>
        </is>
      </c>
      <c r="H23" s="72" t="inlineStr">
        <is>
          <t>Measured battery-coolant UA, Maxwell MTM capacity map, D77 thermal data</t>
        </is>
      </c>
      <c r="I23" s="72" t="inlineStr">
        <is>
          <t>Replace placeholders (MODEL_NOTES Phase 2 table) with measured values; re-run run_thermal_sweep; compare verdict matrix</t>
        </is>
      </c>
      <c r="J23" s="72" t="inlineStr">
        <is>
          <t>Verdict matrix updated; no new FAIL at the design ambient (DR-52) for preconditioned starts</t>
        </is>
      </c>
      <c r="K23" s="72" t="inlineStr">
        <is>
          <t>MATLAB/Simscape, proto_loco repo</t>
        </is>
      </c>
      <c r="L23" s="72" t="inlineStr">
        <is>
          <t>SHOULD</t>
        </is>
      </c>
      <c r="M23" s="72" t="inlineStr">
        <is>
          <t>Full (model)</t>
        </is>
      </c>
      <c r="N23" s="72" t="inlineStr">
        <is>
          <t>F54, F55, F58</t>
        </is>
      </c>
      <c r="O23" s="72" t="n"/>
      <c r="P23" s="72" t="inlineStr">
        <is>
          <t>v0.5 baseline in Thermal Sweep tab</t>
        </is>
      </c>
      <c r="Q23" s="72" t="inlineStr">
        <is>
          <t>Not started</t>
        </is>
      </c>
      <c r="R23" s="72" t="n"/>
      <c r="S23" s="72" t="n"/>
    </row>
    <row r="24" ht="23.25" customHeight="1" s="65">
      <c r="A24" s="71" t="inlineStr">
        <is>
          <t>H-01</t>
        </is>
      </c>
      <c r="B24" s="71" t="inlineStr">
        <is>
          <t>G1 Receive &amp; build</t>
        </is>
      </c>
      <c r="C24" s="71" t="inlineStr">
        <is>
          <t>Huntington</t>
        </is>
      </c>
      <c r="D24" s="71" t="inlineStr">
        <is>
          <t>Shipped LRUs arrive undamaged and match BOM</t>
        </is>
      </c>
      <c r="E24" s="71" t="inlineStr">
        <is>
          <t>All shipped LRUs (choppers x5, packs, panels)</t>
        </is>
      </c>
      <c r="F24" s="71" t="inlineStr">
        <is>
          <t>Voltify</t>
        </is>
      </c>
      <c r="G24" s="71" t="inlineStr">
        <is>
          <t>Production lead</t>
        </is>
      </c>
      <c r="H24" s="71" t="inlineStr">
        <is>
          <t>Shipments landed</t>
        </is>
      </c>
      <c r="I24" s="71" t="inlineStr">
        <is>
          <t>Receiving inspection + photos; shock indicators</t>
        </is>
      </c>
      <c r="J24" s="71" t="inlineStr">
        <is>
          <t>No damage; serials logged; BOM match</t>
        </is>
      </c>
      <c r="K24" s="71" t="inlineStr">
        <is>
          <t>Camera, receiving log</t>
        </is>
      </c>
      <c r="L24" s="71" t="inlineStr">
        <is>
          <t>MUST</t>
        </is>
      </c>
      <c r="M24" s="71" t="inlineStr">
        <is>
          <t>None</t>
        </is>
      </c>
      <c r="N24" s="71" t="inlineStr">
        <is>
          <t>F28</t>
        </is>
      </c>
      <c r="O24" s="71" t="n"/>
      <c r="P24" s="71" t="inlineStr">
        <is>
          <t>Choppers ship Oct 8-9 (5 units)</t>
        </is>
      </c>
      <c r="Q24" s="71" t="inlineStr">
        <is>
          <t>Not started</t>
        </is>
      </c>
      <c r="R24" s="71" t="n"/>
      <c r="S24" s="71" t="n"/>
    </row>
    <row r="25" ht="45.75" customHeight="1" s="65">
      <c r="A25" s="71" t="inlineStr">
        <is>
          <t>H-02</t>
        </is>
      </c>
      <c r="B25" s="71" t="inlineStr">
        <is>
          <t>G1 Receive &amp; build</t>
        </is>
      </c>
      <c r="C25" s="71" t="inlineStr">
        <is>
          <t>Huntington</t>
        </is>
      </c>
      <c r="D25" s="71" t="inlineStr">
        <is>
          <t>Every harness is wired to the schematic and the wiring audit is signed (Huntington exit item a)</t>
        </is>
      </c>
      <c r="E25" s="71" t="inlineStr">
        <is>
          <t>All LV/HV harnesses</t>
        </is>
      </c>
      <c r="F25" s="71" t="inlineStr">
        <is>
          <t>Voltify</t>
        </is>
      </c>
      <c r="G25" s="71" t="inlineStr">
        <is>
          <t>Production lead + Mitchell</t>
        </is>
      </c>
      <c r="H25" s="71" t="inlineStr">
        <is>
          <t>Electricians done per compartment</t>
        </is>
      </c>
      <c r="I25" s="71" t="inlineStr">
        <is>
          <t>Point-to-point continuity vs wire list; independent second-person audit of 100% of terminations; redlines incorporated into the schematic; per-cable IR (system Megger is H-29)</t>
        </is>
      </c>
      <c r="J25" s="71" t="inlineStr">
        <is>
          <t>100% continuity; audit signed by production lead + Voltify engineer; all redlines closed</t>
        </is>
      </c>
      <c r="K25" s="71" t="inlineStr">
        <is>
          <t>Continuity tester, megger</t>
        </is>
      </c>
      <c r="L25" s="71" t="inlineStr">
        <is>
          <t>MUST (Huntington exit)</t>
        </is>
      </c>
      <c r="M25" s="71" t="inlineStr">
        <is>
          <t>None</t>
        </is>
      </c>
      <c r="N25" s="71" t="inlineStr">
        <is>
          <t>F31</t>
        </is>
      </c>
      <c r="O25" s="71" t="n"/>
      <c r="P25" s="71" t="inlineStr">
        <is>
          <t>5 electricians start Oct 12</t>
        </is>
      </c>
      <c r="Q25" s="71" t="inlineStr">
        <is>
          <t>Not started</t>
        </is>
      </c>
      <c r="R25" s="71" t="n"/>
      <c r="S25" s="71" t="n"/>
    </row>
    <row r="26" ht="34.5" customHeight="1" s="65">
      <c r="A26" s="72" t="inlineStr">
        <is>
          <t>H-30</t>
        </is>
      </c>
      <c r="B26" s="72" t="inlineStr">
        <is>
          <t>G1 Receive &amp; build</t>
        </is>
      </c>
      <c r="C26" s="72" t="inlineStr">
        <is>
          <t>Huntington</t>
        </is>
      </c>
      <c r="D26" s="72" t="inlineStr">
        <is>
          <t>Software and firmware loaded on every controller, Voltify and Integral (Huntington exit item c)</t>
        </is>
      </c>
      <c r="E26" s="72" t="inlineStr">
        <is>
          <t>VMS, VIOs x4, BCUs x12, panto ctrl, PE cooling ctrl, LCC/TECU, choppers x5, IAC</t>
        </is>
      </c>
      <c r="F26" s="72" t="inlineStr">
        <is>
          <t>Voltify + Integral</t>
        </is>
      </c>
      <c r="G26" s="72" t="inlineStr">
        <is>
          <t>Jared + Integral</t>
        </is>
      </c>
      <c r="H26" s="72" t="inlineStr">
        <is>
          <t>Release packages frozen; DBC R2</t>
        </is>
      </c>
      <c r="I26" s="72" t="inlineStr">
        <is>
          <t>Flash each node from the release package; read back version and checksum; record in a signed manifest; re-run after any update</t>
        </is>
      </c>
      <c r="J26" s="72" t="inlineStr">
        <is>
          <t>100% of nodes on manifest versions; checksums match; manifest signed by Voltify and Integral</t>
        </is>
      </c>
      <c r="K26" s="72" t="inlineStr">
        <is>
          <t>Flash tools, laptops, release package, VPN</t>
        </is>
      </c>
      <c r="L26" s="72" t="inlineStr">
        <is>
          <t>MUST (Huntington exit)</t>
        </is>
      </c>
      <c r="M26" s="72" t="inlineStr">
        <is>
          <t>Partial (bench images)</t>
        </is>
      </c>
      <c r="N26" s="72" t="inlineStr">
        <is>
          <t>F51, F21</t>
        </is>
      </c>
      <c r="O26" s="72" t="n"/>
      <c r="P26" s="72" t="inlineStr">
        <is>
          <t>Jared release process covers Voltify only today</t>
        </is>
      </c>
      <c r="Q26" s="72" t="inlineStr">
        <is>
          <t>Not started</t>
        </is>
      </c>
      <c r="R26" s="72" t="n"/>
      <c r="S26" s="72" t="n"/>
    </row>
    <row r="27" ht="23.25" customHeight="1" s="65">
      <c r="A27" s="71" t="inlineStr">
        <is>
          <t>H-03</t>
        </is>
      </c>
      <c r="B27" s="71" t="inlineStr">
        <is>
          <t>G1 Receive &amp; build</t>
        </is>
      </c>
      <c r="C27" s="71" t="inlineStr">
        <is>
          <t>Huntington</t>
        </is>
      </c>
      <c r="D27" s="71" t="inlineStr">
        <is>
          <t>Low-voltage power-up is clean</t>
        </is>
      </c>
      <c r="E27" s="71" t="inlineStr">
        <is>
          <t>72 V battery, 24 V PDMs, breaker panels</t>
        </is>
      </c>
      <c r="F27" s="71" t="inlineStr">
        <is>
          <t>Voltify</t>
        </is>
      </c>
      <c r="G27" s="71" t="inlineStr">
        <is>
          <t>Mitchell</t>
        </is>
      </c>
      <c r="H27" s="71" t="inlineStr">
        <is>
          <t>H-02 passed, H-30 loaded</t>
        </is>
      </c>
      <c r="I27" s="71" t="inlineStr">
        <is>
          <t>Energize breaker by breaker; check PDM channel map</t>
        </is>
      </c>
      <c r="J27" s="71" t="inlineStr">
        <is>
          <t>Each load on the correct channel; no trips; E-Stop loop continuity</t>
        </is>
      </c>
      <c r="K27" s="71" t="inlineStr">
        <is>
          <t>DMM, PDM config tool</t>
        </is>
      </c>
      <c r="L27" s="71" t="inlineStr">
        <is>
          <t>MUST</t>
        </is>
      </c>
      <c r="M27" s="71" t="inlineStr">
        <is>
          <t>None</t>
        </is>
      </c>
      <c r="N27" s="71" t="inlineStr">
        <is>
          <t>F31, F32</t>
        </is>
      </c>
      <c r="O27" s="71" t="inlineStr">
        <is>
          <t>PDM #1 bring-up</t>
        </is>
      </c>
      <c r="P27" s="71" t="n"/>
      <c r="Q27" s="71" t="inlineStr">
        <is>
          <t>Not started</t>
        </is>
      </c>
      <c r="R27" s="71" t="n"/>
      <c r="S27" s="71" t="n"/>
    </row>
    <row r="28" ht="23.25" customHeight="1" s="65">
      <c r="A28" s="71" t="inlineStr">
        <is>
          <t>H-04</t>
        </is>
      </c>
      <c r="B28" s="71" t="inlineStr">
        <is>
          <t>G1 Receive &amp; build</t>
        </is>
      </c>
      <c r="C28" s="71" t="inlineStr">
        <is>
          <t>Huntington</t>
        </is>
      </c>
      <c r="D28" s="71" t="inlineStr">
        <is>
          <t>All nodes talk on the locomotive</t>
        </is>
      </c>
      <c r="E28" s="71" t="inlineStr">
        <is>
          <t>CAN x4, Ethernet, LCC, BCUs x12</t>
        </is>
      </c>
      <c r="F28" s="71" t="inlineStr">
        <is>
          <t>Voltify + Integral</t>
        </is>
      </c>
      <c r="G28" s="71" t="inlineStr">
        <is>
          <t>Micah</t>
        </is>
      </c>
      <c r="H28" s="71" t="inlineStr">
        <is>
          <t>H-03 passed</t>
        </is>
      </c>
      <c r="I28" s="71" t="inlineStr">
        <is>
          <t>Repeat C-01 census on the loco</t>
        </is>
      </c>
      <c r="J28" s="71" t="inlineStr">
        <is>
          <t>100% nodes; no error frames 30 min</t>
        </is>
      </c>
      <c r="K28" s="71" t="inlineStr">
        <is>
          <t>CAN analyzer</t>
        </is>
      </c>
      <c r="L28" s="71" t="inlineStr">
        <is>
          <t>MUST</t>
        </is>
      </c>
      <c r="M28" s="71" t="inlineStr">
        <is>
          <t>None</t>
        </is>
      </c>
      <c r="N28" s="71" t="inlineStr">
        <is>
          <t>F21</t>
        </is>
      </c>
      <c r="O28" s="71" t="n"/>
      <c r="P28" s="71" t="n"/>
      <c r="Q28" s="71" t="inlineStr">
        <is>
          <t>Not started</t>
        </is>
      </c>
      <c r="R28" s="71" t="n"/>
      <c r="S28" s="71" t="n"/>
    </row>
    <row r="29" ht="45.75" customHeight="1" s="65">
      <c r="A29" s="72" t="inlineStr">
        <is>
          <t>H-29</t>
        </is>
      </c>
      <c r="B29" s="72" t="inlineStr">
        <is>
          <t>G2 HV energize</t>
        </is>
      </c>
      <c r="C29" s="72" t="inlineStr">
        <is>
          <t>Huntington</t>
        </is>
      </c>
      <c r="D29" s="72" t="inlineStr">
        <is>
          <t>HV system insulation (Megger) passes before first energization (Huntington exit item b)</t>
        </is>
      </c>
      <c r="E29" s="72" t="inlineStr">
        <is>
          <t>TRB-BUS, DC-link, choppers, ITV path, aux converters, panto/MCS buses</t>
        </is>
      </c>
      <c r="F29" s="72" t="inlineStr">
        <is>
          <t>Voltify</t>
        </is>
      </c>
      <c r="G29" s="72" t="inlineStr">
        <is>
          <t>Mitchell</t>
        </is>
      </c>
      <c r="H29" s="72" t="inlineStr">
        <is>
          <t>H-02 passed; written Megger procedure; electronics isolated or shorted per procedure</t>
        </is>
      </c>
      <c r="I29" s="72" t="inlineStr">
        <is>
          <t>Test each HV section to chassis at the procedure voltage (proposed 2.5 kV, or component rating if lower); record 1-min IR and polarization index; discharge after</t>
        </is>
      </c>
      <c r="J29" s="72" t="inlineStr">
        <is>
          <t>IR &gt;= limit per section (proposed &gt;= 0.75 Mohm at 1,500 V; internal target higher); no section below; values logged as baseline for J-01</t>
        </is>
      </c>
      <c r="K29" s="72" t="inlineStr">
        <is>
          <t>5 kV insulation tester, shorting leads, discharge stick, HV PPE</t>
        </is>
      </c>
      <c r="L29" s="72" t="inlineStr">
        <is>
          <t>MUST (Huntington exit)</t>
        </is>
      </c>
      <c r="M29" s="72" t="inlineStr">
        <is>
          <t>Partial (C-16 harness level)</t>
        </is>
      </c>
      <c r="N29" s="72" t="inlineStr">
        <is>
          <t>F15, F52</t>
        </is>
      </c>
      <c r="O29" s="72" t="n"/>
      <c r="P29" s="72" t="inlineStr">
        <is>
          <t>Do not Megger with semiconductors, sensors or EMC caps connected</t>
        </is>
      </c>
      <c r="Q29" s="72" t="inlineStr">
        <is>
          <t>Not started</t>
        </is>
      </c>
      <c r="R29" s="72" t="n"/>
      <c r="S29" s="72" t="n"/>
    </row>
    <row r="30" ht="45.75" customHeight="1" s="65">
      <c r="A30" s="72" t="inlineStr">
        <is>
          <t>H-32</t>
        </is>
      </c>
      <c r="B30" s="72" t="inlineStr">
        <is>
          <t>G2 HV energize</t>
        </is>
      </c>
      <c r="C30" s="72" t="inlineStr">
        <is>
          <t>Huntington</t>
        </is>
      </c>
      <c r="D30" s="72" t="inlineStr">
        <is>
          <t>Data logging is live from first LV power and syncs to the cloud</t>
        </is>
      </c>
      <c r="E30" s="72" t="inlineStr">
        <is>
          <t>VMS logger, LCC data, BCUs, GPS, Starlink, cloud store</t>
        </is>
      </c>
      <c r="F30" s="72" t="inlineStr">
        <is>
          <t>Voltify</t>
        </is>
      </c>
      <c r="G30" s="72" t="inlineStr">
        <is>
          <t>Matan + Jared</t>
        </is>
      </c>
      <c r="H30" s="72" t="inlineStr">
        <is>
          <t>H-03; signal list frozen (Data Logging tab)</t>
        </is>
      </c>
      <c r="I30" s="72" t="inlineStr">
        <is>
          <t>Start logging at first LV power; verify every signal group at its rate; pull 24 h and check gaps and time alignment; verify Starlink sync and store-and-forward when offline</t>
        </is>
      </c>
      <c r="J30" s="72" t="inlineStr">
        <is>
          <t>100% of P1 signals present at rate; time alignment &lt; 100 ms across sources; no gap &gt; 1 min in 24 h; &gt;= 7 days onboard buffer; cloud copy within 24 h</t>
        </is>
      </c>
      <c r="K30" s="72" t="inlineStr">
        <is>
          <t>Starlink or LTE, laptop, cloud bucket</t>
        </is>
      </c>
      <c r="L30" s="72" t="inlineStr">
        <is>
          <t>MUST</t>
        </is>
      </c>
      <c r="M30" s="72" t="inlineStr">
        <is>
          <t>None</t>
        </is>
      </c>
      <c r="N30" s="72" t="inlineStr">
        <is>
          <t>F48</t>
        </is>
      </c>
      <c r="O30" s="72" t="inlineStr">
        <is>
          <t>Starlink incomplete</t>
        </is>
      </c>
      <c r="P30" s="72" t="inlineStr">
        <is>
          <t>Range is empirical (DR-49); data starts here</t>
        </is>
      </c>
      <c r="Q30" s="72" t="inlineStr">
        <is>
          <t>Not started</t>
        </is>
      </c>
      <c r="R30" s="72" t="n"/>
      <c r="S30" s="72" t="n"/>
    </row>
    <row r="31" ht="23.25" customHeight="1" s="65">
      <c r="A31" s="71" t="inlineStr">
        <is>
          <t>H-05</t>
        </is>
      </c>
      <c r="B31" s="71" t="inlineStr">
        <is>
          <t>G2 HV energize</t>
        </is>
      </c>
      <c r="C31" s="71" t="inlineStr">
        <is>
          <t>Huntington</t>
        </is>
      </c>
      <c r="D31" s="71" t="inlineStr">
        <is>
          <t>Each battery string comes on line safely, then strings are paralleled</t>
        </is>
      </c>
      <c r="E31" s="71" t="inlineStr">
        <is>
          <t>Packs, combiners, BCUs, VMS</t>
        </is>
      </c>
      <c r="F31" s="71" t="inlineStr">
        <is>
          <t>Voltify</t>
        </is>
      </c>
      <c r="G31" s="71" t="inlineStr">
        <is>
          <t>Micah</t>
        </is>
      </c>
      <c r="H31" s="71" t="inlineStr">
        <is>
          <t>H-29 passed; isolation checked per string</t>
        </is>
      </c>
      <c r="I31" s="71" t="inlineStr">
        <is>
          <t>One string at a time; verify V, polarity, feedback; then parallel with dV rule</t>
        </is>
      </c>
      <c r="J31" s="71" t="inlineStr">
        <is>
          <t>String V matches BCU; contactor feedback matches; parallel inrush within limit</t>
        </is>
      </c>
      <c r="K31" s="71" t="inlineStr">
        <is>
          <t>HV probes, DC clamp</t>
        </is>
      </c>
      <c r="L31" s="71" t="inlineStr">
        <is>
          <t>MUST</t>
        </is>
      </c>
      <c r="M31" s="71" t="inlineStr">
        <is>
          <t>Partial (C-03/04)</t>
        </is>
      </c>
      <c r="N31" s="71" t="inlineStr">
        <is>
          <t>F04, F05</t>
        </is>
      </c>
      <c r="O31" s="71" t="n"/>
      <c r="P31" s="71" t="n"/>
      <c r="Q31" s="71" t="inlineStr">
        <is>
          <t>Not started</t>
        </is>
      </c>
      <c r="R31" s="71" t="n"/>
      <c r="S31" s="71" t="n"/>
    </row>
    <row r="32" ht="23.25" customHeight="1" s="65">
      <c r="A32" s="74" t="inlineStr">
        <is>
          <t>H-06</t>
        </is>
      </c>
      <c r="B32" s="74" t="inlineStr">
        <is>
          <t>G2 HV energize</t>
        </is>
      </c>
      <c r="C32" s="74" t="inlineStr">
        <is>
          <t>Huntington</t>
        </is>
      </c>
      <c r="D32" s="74" t="inlineStr">
        <is>
          <t>Traction bus isolation is healthy</t>
        </is>
      </c>
      <c r="E32" s="74" t="inlineStr">
        <is>
          <t>TRB-BUS, DC-link, HV room</t>
        </is>
      </c>
      <c r="F32" s="74" t="inlineStr">
        <is>
          <t>Voltify</t>
        </is>
      </c>
      <c r="G32" s="74" t="inlineStr">
        <is>
          <t>Micah</t>
        </is>
      </c>
      <c r="H32" s="74" t="inlineStr">
        <is>
          <t>H-05</t>
        </is>
      </c>
      <c r="I32" s="74" t="inlineStr">
        <is>
          <t>Measure isolation +/- to chassis at full V (IMD or megger)</t>
        </is>
      </c>
      <c r="J32" s="74" t="inlineStr">
        <is>
          <t>Isolation &gt;= agreed limit; logged as baseline</t>
        </is>
      </c>
      <c r="K32" s="74" t="inlineStr">
        <is>
          <t>Insulation monitor or megger</t>
        </is>
      </c>
      <c r="L32" s="74" t="inlineStr">
        <is>
          <t>MUST (safety)</t>
        </is>
      </c>
      <c r="M32" s="74" t="inlineStr">
        <is>
          <t>Partial</t>
        </is>
      </c>
      <c r="N32" s="74" t="inlineStr">
        <is>
          <t>F15</t>
        </is>
      </c>
      <c r="O32" s="74" t="inlineStr">
        <is>
          <t>No IMD in architecture</t>
        </is>
      </c>
      <c r="P32" s="74" t="inlineStr">
        <is>
          <t>Add IMD or a manual check rule | v1.3: Jonathan: continuous ground-fault detection exists; verify the detector senses the TRB-bus (source), not only the DC-link</t>
        </is>
      </c>
      <c r="Q32" s="74" t="inlineStr">
        <is>
          <t>Not started</t>
        </is>
      </c>
      <c r="R32" s="74" t="n"/>
      <c r="S32" s="74" t="n"/>
    </row>
    <row r="33" ht="23.25" customHeight="1" s="65">
      <c r="A33" s="71" t="inlineStr">
        <is>
          <t>H-07</t>
        </is>
      </c>
      <c r="B33" s="71" t="inlineStr">
        <is>
          <t>G2 HV energize</t>
        </is>
      </c>
      <c r="C33" s="71" t="inlineStr">
        <is>
          <t>Huntington</t>
        </is>
      </c>
      <c r="D33" s="71" t="inlineStr">
        <is>
          <t>DC-link precharge at full voltage and full capacitance</t>
        </is>
      </c>
      <c r="E33" s="71" t="inlineStr">
        <is>
          <t>VMS VIO / LCC, choppers, LCF</t>
        </is>
      </c>
      <c r="F33" s="71" t="inlineStr">
        <is>
          <t>Voltify + Integral</t>
        </is>
      </c>
      <c r="G33" s="71" t="inlineStr">
        <is>
          <t>Mitchell + Integral</t>
        </is>
      </c>
      <c r="H33" s="71" t="inlineStr">
        <is>
          <t>H-05, choppers installed</t>
        </is>
      </c>
      <c r="I33" s="71" t="inlineStr">
        <is>
          <t>Precharge at full bus V; scope</t>
        </is>
      </c>
      <c r="J33" s="71" t="inlineStr">
        <is>
          <t>Same as C-05 at full V; no contactor weld</t>
        </is>
      </c>
      <c r="K33" s="71" t="inlineStr">
        <is>
          <t>Isolated scope</t>
        </is>
      </c>
      <c r="L33" s="71" t="inlineStr">
        <is>
          <t>MUST</t>
        </is>
      </c>
      <c r="M33" s="71" t="inlineStr">
        <is>
          <t>Partial</t>
        </is>
      </c>
      <c r="N33" s="71" t="inlineStr">
        <is>
          <t>F02, F03</t>
        </is>
      </c>
      <c r="O33" s="71" t="n"/>
      <c r="P33" s="71" t="n"/>
      <c r="Q33" s="71" t="inlineStr">
        <is>
          <t>Not started</t>
        </is>
      </c>
      <c r="R33" s="71" t="n"/>
      <c r="S33" s="71" t="n"/>
    </row>
    <row r="34" ht="23.25" customHeight="1" s="65">
      <c r="A34" s="71" t="inlineStr">
        <is>
          <t>H-08</t>
        </is>
      </c>
      <c r="B34" s="71" t="inlineStr">
        <is>
          <t>G2 HV energize</t>
        </is>
      </c>
      <c r="C34" s="71" t="inlineStr">
        <is>
          <t>Huntington</t>
        </is>
      </c>
      <c r="D34" s="71" t="inlineStr">
        <is>
          <t>Aux power chain runs the locomotive's own loads</t>
        </is>
      </c>
      <c r="E34" s="71" t="inlineStr">
        <is>
          <t>750V-PS, 72V-PS, compressor INV, blower INV, BTMS</t>
        </is>
      </c>
      <c r="F34" s="71" t="inlineStr">
        <is>
          <t>Voltify + Integral</t>
        </is>
      </c>
      <c r="G34" s="71" t="inlineStr">
        <is>
          <t>Mitchell</t>
        </is>
      </c>
      <c r="H34" s="71" t="inlineStr">
        <is>
          <t>H-07</t>
        </is>
      </c>
      <c r="I34" s="71" t="inlineStr">
        <is>
          <t>Staged load-up; pump main reservoir</t>
        </is>
      </c>
      <c r="J34" s="71" t="inlineStr">
        <is>
          <t>Main reservoir pumped to cut-out pressure in FRA time (TBD); no aux trips</t>
        </is>
      </c>
      <c r="K34" s="71" t="inlineStr">
        <is>
          <t>Air gauges (digital), clamp</t>
        </is>
      </c>
      <c r="L34" s="71" t="inlineStr">
        <is>
          <t>MUST</t>
        </is>
      </c>
      <c r="M34" s="71" t="inlineStr">
        <is>
          <t>Partial (C-07..C-11)</t>
        </is>
      </c>
      <c r="N34" s="71" t="inlineStr">
        <is>
          <t>F18, F19</t>
        </is>
      </c>
      <c r="O34" s="71" t="n"/>
      <c r="P34" s="71" t="n"/>
      <c r="Q34" s="71" t="inlineStr">
        <is>
          <t>Not started</t>
        </is>
      </c>
      <c r="R34" s="71" t="n"/>
      <c r="S34" s="71" t="n"/>
    </row>
    <row r="35" ht="23.25" customHeight="1" s="65">
      <c r="A35" s="71" t="inlineStr">
        <is>
          <t>H-09</t>
        </is>
      </c>
      <c r="B35" s="71" t="inlineStr">
        <is>
          <t>G2 HV energize</t>
        </is>
      </c>
      <c r="C35" s="71" t="inlineStr">
        <is>
          <t>Huntington</t>
        </is>
      </c>
      <c r="D35" s="71" t="inlineStr">
        <is>
          <t>E-Stop disconnects all HV at full voltage</t>
        </is>
      </c>
      <c r="E35" s="71" t="inlineStr">
        <is>
          <t>E-Stop tree</t>
        </is>
      </c>
      <c r="F35" s="71" t="inlineStr">
        <is>
          <t>Voltify + Integral</t>
        </is>
      </c>
      <c r="G35" s="71" t="inlineStr">
        <is>
          <t>Micah</t>
        </is>
      </c>
      <c r="H35" s="71" t="inlineStr">
        <is>
          <t>H-08</t>
        </is>
      </c>
      <c r="I35" s="71" t="inlineStr">
        <is>
          <t>Press each PB with aux running; repeat with light traction</t>
        </is>
      </c>
      <c r="J35" s="71" t="inlineStr">
        <is>
          <t>All HV sources off in T1-T3; residual V decays; restart needs reset</t>
        </is>
      </c>
      <c r="K35" s="71" t="inlineStr">
        <is>
          <t>Isolated scope</t>
        </is>
      </c>
      <c r="L35" s="71" t="inlineStr">
        <is>
          <t>MUST (safety)</t>
        </is>
      </c>
      <c r="M35" s="71" t="inlineStr">
        <is>
          <t>Partial (C-06)</t>
        </is>
      </c>
      <c r="N35" s="71" t="inlineStr">
        <is>
          <t>F01, F37</t>
        </is>
      </c>
      <c r="O35" s="71" t="n"/>
      <c r="P35" s="71" t="n"/>
      <c r="Q35" s="71" t="inlineStr">
        <is>
          <t>Not started</t>
        </is>
      </c>
      <c r="R35" s="71" t="n"/>
      <c r="S35" s="71" t="n"/>
    </row>
    <row r="36" ht="23.25" customHeight="1" s="65">
      <c r="A36" s="71" t="inlineStr">
        <is>
          <t>H-10</t>
        </is>
      </c>
      <c r="B36" s="71" t="inlineStr">
        <is>
          <t>G2 HV energize</t>
        </is>
      </c>
      <c r="C36" s="71" t="inlineStr">
        <is>
          <t>Huntington</t>
        </is>
      </c>
      <c r="D36" s="71" t="inlineStr">
        <is>
          <t>Air brakes, alerter and penalty work with the new control system</t>
        </is>
      </c>
      <c r="E36" s="71" t="inlineStr">
        <is>
          <t>CCB2 / air brake, LCC, alerter, handbrake</t>
        </is>
      </c>
      <c r="F36" s="71" t="inlineStr">
        <is>
          <t>Integral + donor</t>
        </is>
      </c>
      <c r="G36" s="71" t="inlineStr">
        <is>
          <t>Dragan + Integral</t>
        </is>
      </c>
      <c r="H36" s="71" t="inlineStr">
        <is>
          <t>H-08</t>
        </is>
      </c>
      <c r="I36" s="71" t="inlineStr">
        <is>
          <t>Standard air brake tests; alerter timeout; handbrake-applied inhibit</t>
        </is>
      </c>
      <c r="J36" s="71" t="inlineStr">
        <is>
          <t>Pass FRA Part 229/232 brake tests; penalty applies; loco will not load with handbrake applied</t>
        </is>
      </c>
      <c r="K36" s="71" t="inlineStr">
        <is>
          <t>Air brake test kit</t>
        </is>
      </c>
      <c r="L36" s="71" t="inlineStr">
        <is>
          <t>MUST</t>
        </is>
      </c>
      <c r="M36" s="71" t="inlineStr">
        <is>
          <t>None</t>
        </is>
      </c>
      <c r="N36" s="71" t="inlineStr">
        <is>
          <t>F24</t>
        </is>
      </c>
      <c r="O36" s="71" t="n"/>
      <c r="P36" s="71" t="n"/>
      <c r="Q36" s="71" t="inlineStr">
        <is>
          <t>Not started</t>
        </is>
      </c>
      <c r="R36" s="71" t="n"/>
      <c r="S36" s="71" t="n"/>
    </row>
    <row r="37" ht="23.25" customHeight="1" s="65">
      <c r="A37" s="71" t="inlineStr">
        <is>
          <t>H-11</t>
        </is>
      </c>
      <c r="B37" s="71" t="inlineStr">
        <is>
          <t>G2 HV energize</t>
        </is>
      </c>
      <c r="C37" s="71" t="inlineStr">
        <is>
          <t>Huntington</t>
        </is>
      </c>
      <c r="D37" s="71" t="inlineStr">
        <is>
          <t>Start, stop and timeout sequences run between VMS and LCC</t>
        </is>
      </c>
      <c r="E37" s="71" t="inlineStr">
        <is>
          <t>VMS, LCC</t>
        </is>
      </c>
      <c r="F37" s="71" t="inlineStr">
        <is>
          <t>Voltify + Integral</t>
        </is>
      </c>
      <c r="G37" s="71" t="inlineStr">
        <is>
          <t>Micah + Bailey</t>
        </is>
      </c>
      <c r="H37" s="71" t="inlineStr">
        <is>
          <t>H-04, H-07</t>
        </is>
      </c>
      <c r="I37" s="71" t="inlineStr">
        <is>
          <t>Run deck start/stop/timeout flows</t>
        </is>
      </c>
      <c r="J37" s="71" t="inlineStr">
        <is>
          <t>Each step and alarm per flowchart</t>
        </is>
      </c>
      <c r="K37" s="71" t="inlineStr">
        <is>
          <t>CAN logs</t>
        </is>
      </c>
      <c r="L37" s="71" t="inlineStr">
        <is>
          <t>MUST</t>
        </is>
      </c>
      <c r="M37" s="71" t="inlineStr">
        <is>
          <t>Partial (C-02)</t>
        </is>
      </c>
      <c r="N37" s="71" t="inlineStr">
        <is>
          <t>F21</t>
        </is>
      </c>
      <c r="O37" s="71" t="n"/>
      <c r="P37" s="71" t="n"/>
      <c r="Q37" s="71" t="inlineStr">
        <is>
          <t>Not started</t>
        </is>
      </c>
      <c r="R37" s="71" t="n"/>
      <c r="S37" s="71" t="n"/>
    </row>
    <row r="38" ht="45.75" customHeight="1" s="65">
      <c r="A38" s="72" t="inlineStr">
        <is>
          <t>H-31</t>
        </is>
      </c>
      <c r="B38" s="72" t="inlineStr">
        <is>
          <t>G3 Huntington readiness + first movement</t>
        </is>
      </c>
      <c r="C38" s="72" t="inlineStr">
        <is>
          <t>Huntington</t>
        </is>
      </c>
      <c r="D38" s="72" t="inlineStr">
        <is>
          <t>Idle readiness: system powers to idle with zero Class A faults and comm faults minimized</t>
        </is>
      </c>
      <c r="E38" s="72" t="inlineStr">
        <is>
          <t>Whole loco at idle (HV on, no motion)</t>
        </is>
      </c>
      <c r="F38" s="72" t="inlineStr">
        <is>
          <t>Voltify + Integral</t>
        </is>
      </c>
      <c r="G38" s="72" t="inlineStr">
        <is>
          <t>Micah + Bailey</t>
        </is>
      </c>
      <c r="H38" s="72" t="inlineStr">
        <is>
          <t>H-04, H-09, H-11; every fault code classified A/B/C</t>
        </is>
      </c>
      <c r="I38" s="72" t="inlineStr">
        <is>
          <t>Power up to idle 3 times from cold; hold 60 min each; export fault log and CAN error counters</t>
        </is>
      </c>
      <c r="J38" s="72" t="inlineStr">
        <is>
          <t>Zero Class A active or latched; every Class B listed with an override plan and an owner for JAX; CAN error frames below threshold (TBD) per bus</t>
        </is>
      </c>
      <c r="K38" s="72" t="inlineStr">
        <is>
          <t>CAN analyzer, fault log export</t>
        </is>
      </c>
      <c r="L38" s="72" t="inlineStr">
        <is>
          <t>MUST (Huntington exit)</t>
        </is>
      </c>
      <c r="M38" s="72" t="inlineStr">
        <is>
          <t>Partial (C-01, C-02)</t>
        </is>
      </c>
      <c r="N38" s="72" t="inlineStr">
        <is>
          <t>F46, F47, F21</t>
        </is>
      </c>
      <c r="O38" s="72" t="n"/>
      <c r="P38" s="72" t="inlineStr">
        <is>
          <t>Readiness definition per Dragan</t>
        </is>
      </c>
      <c r="Q38" s="72" t="inlineStr">
        <is>
          <t>Not started</t>
        </is>
      </c>
      <c r="R38" s="72" t="n"/>
      <c r="S38" s="72" t="n"/>
    </row>
    <row r="39" ht="34.5" customHeight="1" s="65">
      <c r="A39" s="71" t="inlineStr">
        <is>
          <t>H-12</t>
        </is>
      </c>
      <c r="B39" s="71" t="inlineStr">
        <is>
          <t>G3 Huntington readiness + first movement</t>
        </is>
      </c>
      <c r="C39" s="71" t="inlineStr">
        <is>
          <t>Huntington</t>
        </is>
      </c>
      <c r="D39" s="71" t="inlineStr">
        <is>
          <t>Each motor turns the right way at creep</t>
        </is>
      </c>
      <c r="E39" s="71" t="inlineStr">
        <is>
          <t>Choppers 1-4, D77 motors, reverser/MCO</t>
        </is>
      </c>
      <c r="F39" s="71" t="inlineStr">
        <is>
          <t>Integral + Voltify</t>
        </is>
      </c>
      <c r="G39" s="71" t="inlineStr">
        <is>
          <t>Integral field engineer</t>
        </is>
      </c>
      <c r="H39" s="71" t="inlineStr">
        <is>
          <t>H-09, H-10, H-31</t>
        </is>
      </c>
      <c r="I39" s="71" t="inlineStr">
        <is>
          <t>Cut in one axle at a time; &lt;1 mph fwd/rev</t>
        </is>
      </c>
      <c r="J39" s="71" t="inlineStr">
        <is>
          <t>Correct direction per axle; current per axle balanced within 10%</t>
        </is>
      </c>
      <c r="K39" s="71" t="inlineStr">
        <is>
          <t>Track access, radios</t>
        </is>
      </c>
      <c r="L39" s="71" t="inlineStr">
        <is>
          <t>MUST (Huntington exit)</t>
        </is>
      </c>
      <c r="M39" s="71" t="inlineStr">
        <is>
          <t>None</t>
        </is>
      </c>
      <c r="N39" s="71" t="inlineStr">
        <is>
          <t>F23</t>
        </is>
      </c>
      <c r="O39" s="71" t="inlineStr">
        <is>
          <t>Choppers at motor lab Oct 5-7</t>
        </is>
      </c>
      <c r="P39" s="71" t="n"/>
      <c r="Q39" s="71" t="inlineStr">
        <is>
          <t>Not started</t>
        </is>
      </c>
      <c r="R39" s="71" t="n"/>
      <c r="S39" s="71" t="n"/>
    </row>
    <row r="40" ht="57" customHeight="1" s="65">
      <c r="A40" s="71" t="inlineStr">
        <is>
          <t>H-13</t>
        </is>
      </c>
      <c r="B40" s="71" t="inlineStr">
        <is>
          <t>G3 Huntington readiness + first movement</t>
        </is>
      </c>
      <c r="C40" s="71" t="inlineStr">
        <is>
          <t>Huntington</t>
        </is>
      </c>
      <c r="D40" s="71" t="inlineStr">
        <is>
          <t>FIRST MOVEMENT: locomotive moves forward and reverse under its own power and stops (Huntington exit item d)</t>
        </is>
      </c>
      <c r="E40" s="71" t="inlineStr">
        <is>
          <t>Full drivetrain, brakes, E-Stop</t>
        </is>
      </c>
      <c r="F40" s="71" t="inlineStr">
        <is>
          <t>Integral + Voltify</t>
        </is>
      </c>
      <c r="G40" s="71" t="inlineStr">
        <is>
          <t>Dragan + Integral</t>
        </is>
      </c>
      <c r="H40" s="71" t="inlineStr">
        <is>
          <t>H-12</t>
        </is>
      </c>
      <c r="I40" s="71" t="inlineStr">
        <is>
          <t>Shop/yard track, &lt;=5 mph. Forward then reverse. Stop with independent brake, automatic brake, and E-Stop. Class B faults may be overridden per the override rules (Fault Classes tab); any Class A fault = abort</t>
        </is>
      </c>
      <c r="J40" s="71" t="inlineStr">
        <is>
          <t>Moves both directions; stops on each brake; E-Stop safe stop; zero Class A faults; every override logged</t>
        </is>
      </c>
      <c r="K40" s="71" t="inlineStr">
        <is>
          <t>Track authority (CSX/HRR); qualified engineer + conductor; DAQ logging on</t>
        </is>
      </c>
      <c r="L40" s="71" t="inlineStr">
        <is>
          <t>MUST (Huntington exit)</t>
        </is>
      </c>
      <c r="M40" s="71" t="inlineStr">
        <is>
          <t>None</t>
        </is>
      </c>
      <c r="N40" s="71" t="inlineStr">
        <is>
          <t>F01, F24</t>
        </is>
      </c>
      <c r="O40" s="71" t="n"/>
      <c r="P40" s="71" t="inlineStr">
        <is>
          <t>Confirm with CSX whether 49 CFR 229.9(c) yard-move basis covers this test move (RSK-NEW-21)</t>
        </is>
      </c>
      <c r="Q40" s="71" t="inlineStr">
        <is>
          <t>Not started</t>
        </is>
      </c>
      <c r="R40" s="71" t="n"/>
      <c r="S40" s="71" t="n"/>
    </row>
    <row r="41" ht="34.5" customHeight="1" s="65">
      <c r="A41" s="71" t="inlineStr">
        <is>
          <t>H-14</t>
        </is>
      </c>
      <c r="B41" s="71" t="inlineStr">
        <is>
          <t>G3+ Optional extended pre-check</t>
        </is>
      </c>
      <c r="C41" s="71" t="inlineStr">
        <is>
          <t>Huntington</t>
        </is>
      </c>
      <c r="D41" s="71" t="inlineStr">
        <is>
          <t>Pre-check of Showcase 1 at Huntington: accelerate and hold speed 20 min</t>
        </is>
      </c>
      <c r="E41" s="71" t="inlineStr">
        <is>
          <t>Whole loco</t>
        </is>
      </c>
      <c r="F41" s="71" t="inlineStr">
        <is>
          <t>All</t>
        </is>
      </c>
      <c r="G41" s="71" t="inlineStr">
        <is>
          <t>Bill (test director)</t>
        </is>
      </c>
      <c r="H41" s="71" t="inlineStr">
        <is>
          <t>H-13</t>
        </is>
      </c>
      <c r="I41" s="71" t="inlineStr">
        <is>
          <t>Accelerate to 10 mph (TBD); hold 20 min; repeat in reverse</t>
        </is>
      </c>
      <c r="J41" s="71" t="inlineStr">
        <is>
          <t>No latched faults; battery current &lt;=1,884 A; temperatures in limits; speed holds +/- 1 mph</t>
        </is>
      </c>
      <c r="K41" s="71" t="inlineStr">
        <is>
          <t>~3.3 mi of track or repeated passes; DAQ</t>
        </is>
      </c>
      <c r="L41" s="71" t="inlineStr">
        <is>
          <t>SHOULD</t>
        </is>
      </c>
      <c r="M41" s="71" t="inlineStr">
        <is>
          <t>None</t>
        </is>
      </c>
      <c r="N41" s="71" t="inlineStr">
        <is>
          <t>F20, F22, F23</t>
        </is>
      </c>
      <c r="O41" s="71" t="n"/>
      <c r="P41" s="71" t="inlineStr">
        <is>
          <t>Optional. Not required for the tow. If skipped, first 20-min run is J-02B.</t>
        </is>
      </c>
      <c r="Q41" s="71" t="inlineStr">
        <is>
          <t>Not started</t>
        </is>
      </c>
      <c r="R41" s="71" t="n"/>
      <c r="S41" s="71" t="n"/>
    </row>
    <row r="42" ht="23.25" customHeight="1" s="65">
      <c r="A42" s="71" t="inlineStr">
        <is>
          <t>H-15</t>
        </is>
      </c>
      <c r="B42" s="71" t="inlineStr">
        <is>
          <t>G3+ Optional extended pre-check</t>
        </is>
      </c>
      <c r="C42" s="71" t="inlineStr">
        <is>
          <t>Huntington</t>
        </is>
      </c>
      <c r="D42" s="71" t="inlineStr">
        <is>
          <t>Thermal soak during the run stays in limits</t>
        </is>
      </c>
      <c r="E42" s="71" t="inlineStr">
        <is>
          <t>Choppers, motors, battery, PE loop, blowers</t>
        </is>
      </c>
      <c r="F42" s="71" t="inlineStr">
        <is>
          <t>Voltify + Integral</t>
        </is>
      </c>
      <c r="G42" s="71" t="inlineStr">
        <is>
          <t>VJ / Jack</t>
        </is>
      </c>
      <c r="H42" s="71" t="inlineStr">
        <is>
          <t>H-14</t>
        </is>
      </c>
      <c r="I42" s="71" t="inlineStr">
        <is>
          <t>Log temps through H-14 and 15 min after</t>
        </is>
      </c>
      <c r="J42" s="71" t="inlineStr">
        <is>
          <t>All temperatures below supplier limits; no derate</t>
        </is>
      </c>
      <c r="K42" s="71" t="inlineStr">
        <is>
          <t>Thermocouples, VMS logs</t>
        </is>
      </c>
      <c r="L42" s="71" t="inlineStr">
        <is>
          <t>SHOULD</t>
        </is>
      </c>
      <c r="M42" s="71" t="inlineStr">
        <is>
          <t>None</t>
        </is>
      </c>
      <c r="N42" s="71" t="inlineStr">
        <is>
          <t>F07, F20, F30</t>
        </is>
      </c>
      <c r="O42" s="71" t="n"/>
      <c r="P42" s="71" t="n"/>
      <c r="Q42" s="71" t="inlineStr">
        <is>
          <t>Not started</t>
        </is>
      </c>
      <c r="R42" s="71" t="n"/>
      <c r="S42" s="71" t="n"/>
    </row>
    <row r="43" ht="23.25" customHeight="1" s="65">
      <c r="A43" s="71" t="inlineStr">
        <is>
          <t>H-16</t>
        </is>
      </c>
      <c r="B43" s="71" t="inlineStr">
        <is>
          <t>G3+ Optional extended pre-check</t>
        </is>
      </c>
      <c r="C43" s="71" t="inlineStr">
        <is>
          <t>Huntington</t>
        </is>
      </c>
      <c r="D43" s="71" t="inlineStr">
        <is>
          <t>Wheel slip control works</t>
        </is>
      </c>
      <c r="E43" s="71" t="inlineStr">
        <is>
          <t>LCC/IAC, choppers</t>
        </is>
      </c>
      <c r="F43" s="71" t="inlineStr">
        <is>
          <t>Integral</t>
        </is>
      </c>
      <c r="G43" s="71" t="inlineStr">
        <is>
          <t>Integral</t>
        </is>
      </c>
      <c r="H43" s="71" t="inlineStr">
        <is>
          <t>H-14</t>
        </is>
      </c>
      <c r="I43" s="71" t="inlineStr">
        <is>
          <t>Sand off / wet rail start; light-engine notch steps</t>
        </is>
      </c>
      <c r="J43" s="71" t="inlineStr">
        <is>
          <t>Slip detected and corrected; no flats</t>
        </is>
      </c>
      <c r="K43" s="71" t="inlineStr">
        <is>
          <t>Track access</t>
        </is>
      </c>
      <c r="L43" s="71" t="inlineStr">
        <is>
          <t>SHOULD</t>
        </is>
      </c>
      <c r="M43" s="71" t="inlineStr">
        <is>
          <t>None</t>
        </is>
      </c>
      <c r="N43" s="71" t="inlineStr">
        <is>
          <t>F23</t>
        </is>
      </c>
      <c r="O43" s="71" t="n"/>
      <c r="P43" s="71" t="n"/>
      <c r="Q43" s="71" t="inlineStr">
        <is>
          <t>Not started</t>
        </is>
      </c>
      <c r="R43" s="71" t="n"/>
      <c r="S43" s="71" t="n"/>
    </row>
    <row r="44" ht="23.25" customHeight="1" s="65">
      <c r="A44" s="71" t="inlineStr">
        <is>
          <t>H-17</t>
        </is>
      </c>
      <c r="B44" s="71" t="inlineStr">
        <is>
          <t>G3+ Optional extended pre-check</t>
        </is>
      </c>
      <c r="C44" s="71" t="inlineStr">
        <is>
          <t>Huntington</t>
        </is>
      </c>
      <c r="D44" s="71" t="inlineStr">
        <is>
          <t>Early energy baseline from shop moves (kWh/mi, idle kWh/h)</t>
        </is>
      </c>
      <c r="E44" s="71" t="inlineStr">
        <is>
          <t>VMS energy counters</t>
        </is>
      </c>
      <c r="F44" s="71" t="inlineStr">
        <is>
          <t>Voltify</t>
        </is>
      </c>
      <c r="G44" s="71" t="inlineStr">
        <is>
          <t>Bill / Jared</t>
        </is>
      </c>
      <c r="H44" s="71" t="inlineStr">
        <is>
          <t>H-32</t>
        </is>
      </c>
      <c r="I44" s="71" t="inlineStr">
        <is>
          <t>Log kWh and miles across all runs</t>
        </is>
      </c>
      <c r="J44" s="71" t="inlineStr">
        <is>
          <t>Idle and moving energy logged with timestamps; feeds Load Cases tab</t>
        </is>
      </c>
      <c r="K44" s="71" t="inlineStr">
        <is>
          <t>VMS logs</t>
        </is>
      </c>
      <c r="L44" s="71" t="inlineStr">
        <is>
          <t>SHOULD</t>
        </is>
      </c>
      <c r="M44" s="71" t="inlineStr">
        <is>
          <t>None</t>
        </is>
      </c>
      <c r="N44" s="71" t="n"/>
      <c r="O44" s="71" t="n"/>
      <c r="P44" s="71" t="inlineStr">
        <is>
          <t>Seeds the range model; full data at J-18/J-19</t>
        </is>
      </c>
      <c r="Q44" s="71" t="inlineStr">
        <is>
          <t>Not started</t>
        </is>
      </c>
      <c r="R44" s="71" t="n"/>
      <c r="S44" s="71" t="n"/>
    </row>
    <row r="45" ht="34.5" customHeight="1" s="65">
      <c r="A45" s="71" t="inlineStr">
        <is>
          <t>H-18</t>
        </is>
      </c>
      <c r="B45" s="71" t="inlineStr">
        <is>
          <t>G3+ Optional extended pre-check</t>
        </is>
      </c>
      <c r="C45" s="71" t="inlineStr">
        <is>
          <t>Huntington</t>
        </is>
      </c>
      <c r="D45" s="71" t="inlineStr">
        <is>
          <t>Recharge with the shop power supply safely</t>
        </is>
      </c>
      <c r="E45" s="71" t="inlineStr">
        <is>
          <t>Lab DC supply, charge entry point, VMS limits</t>
        </is>
      </c>
      <c r="F45" s="71" t="inlineStr">
        <is>
          <t>Voltify</t>
        </is>
      </c>
      <c r="G45" s="71" t="inlineStr">
        <is>
          <t>Mitchell</t>
        </is>
      </c>
      <c r="H45" s="71" t="inlineStr">
        <is>
          <t>Defined connection point + procedure</t>
        </is>
      </c>
      <c r="I45" s="71" t="inlineStr">
        <is>
          <t>Charge from X to Y% SOC; log kW, time, temps</t>
        </is>
      </c>
      <c r="J45" s="71" t="inlineStr">
        <is>
          <t>VMS current limits honored; no bypass of contactors/protection; kW achieved logged</t>
        </is>
      </c>
      <c r="K45" s="71" t="inlineStr">
        <is>
          <t>HV DC supply (e.g. MPS125 + transformer), 480 V service</t>
        </is>
      </c>
      <c r="L45" s="71" t="inlineStr">
        <is>
          <t>SHOULD</t>
        </is>
      </c>
      <c r="M45" s="71" t="inlineStr">
        <is>
          <t>None</t>
        </is>
      </c>
      <c r="N45" s="71" t="inlineStr">
        <is>
          <t>F36</t>
        </is>
      </c>
      <c r="O45" s="71" t="inlineStr">
        <is>
          <t>MCS controllers not developed</t>
        </is>
      </c>
      <c r="P45" s="71" t="inlineStr">
        <is>
          <t>Needed only if packs arrive below the tow SOC window or pre-check runs drain them</t>
        </is>
      </c>
      <c r="Q45" s="71" t="inlineStr">
        <is>
          <t>Not started</t>
        </is>
      </c>
      <c r="R45" s="71" t="n"/>
      <c r="S45" s="71" t="n"/>
    </row>
    <row r="46" ht="23.25" customHeight="1" s="65">
      <c r="A46" s="71" t="inlineStr">
        <is>
          <t>H-21</t>
        </is>
      </c>
      <c r="B46" s="71" t="inlineStr">
        <is>
          <t>G3+ Optional extended pre-check</t>
        </is>
      </c>
      <c r="C46" s="71" t="inlineStr">
        <is>
          <t>Huntington</t>
        </is>
      </c>
      <c r="D46" s="71" t="inlineStr">
        <is>
          <t>Safe reaction to the most likely faults</t>
        </is>
      </c>
      <c r="E46" s="71" t="inlineStr">
        <is>
          <t>VMS, LCC, BMS</t>
        </is>
      </c>
      <c r="F46" s="71" t="inlineStr">
        <is>
          <t>Voltify + Integral</t>
        </is>
      </c>
      <c r="G46" s="71" t="inlineStr">
        <is>
          <t>Micah</t>
        </is>
      </c>
      <c r="H46" s="71" t="inlineStr">
        <is>
          <t>H-14</t>
        </is>
      </c>
      <c r="I46" s="71" t="inlineStr">
        <is>
          <t>Inject: LCC msg loss, BMS comm loss, 72 V dip, one string trip</t>
        </is>
      </c>
      <c r="J46" s="71" t="inlineStr">
        <is>
          <t>Each fault -&gt; defined safe state; no unsafe motion; recovery procedure works</t>
        </is>
      </c>
      <c r="K46" s="71" t="inlineStr">
        <is>
          <t>CAN tool, breaker</t>
        </is>
      </c>
      <c r="L46" s="71" t="inlineStr">
        <is>
          <t>SHOULD</t>
        </is>
      </c>
      <c r="M46" s="71" t="inlineStr">
        <is>
          <t>Partial (C-02/03)</t>
        </is>
      </c>
      <c r="N46" s="71" t="inlineStr">
        <is>
          <t>F05, F21</t>
        </is>
      </c>
      <c r="O46" s="71" t="n"/>
      <c r="P46" s="71" t="n"/>
      <c r="Q46" s="71" t="inlineStr">
        <is>
          <t>Not started</t>
        </is>
      </c>
      <c r="R46" s="71" t="n"/>
      <c r="S46" s="71" t="n"/>
    </row>
    <row r="47" ht="34.5" customHeight="1" s="65">
      <c r="A47" s="72" t="inlineStr">
        <is>
          <t>H-34</t>
        </is>
      </c>
      <c r="B47" s="72" t="inlineStr">
        <is>
          <t>G3+ Optional extended pre-check</t>
        </is>
      </c>
      <c r="C47" s="72" t="inlineStr">
        <is>
          <t>Huntington</t>
        </is>
      </c>
      <c r="D47" s="72" t="inlineStr">
        <is>
          <t>PE loop fault detection: VMS alarm and traction response to pump stop and fan stop</t>
        </is>
      </c>
      <c r="E47" s="72" t="inlineStr">
        <is>
          <t>PE cooling controller, VMS, LCC</t>
        </is>
      </c>
      <c r="F47" s="72" t="inlineStr">
        <is>
          <t>Voltify</t>
        </is>
      </c>
      <c r="G47" s="72" t="inlineStr">
        <is>
          <t>VJ + Micah</t>
        </is>
      </c>
      <c r="H47" s="72" t="inlineStr">
        <is>
          <t>H-32 logging live; Class B fault list</t>
        </is>
      </c>
      <c r="I47" s="72" t="inlineStr">
        <is>
          <t>At idle and at low power: stop PE pumps, then PE fans (one at a time); verify alarm, fault class and traction derate/inhibit timing</t>
        </is>
      </c>
      <c r="J47" s="72" t="inlineStr">
        <is>
          <t>Pump stop detected and traction inhibited before chopper fluid exceeds 63 C; fan stop raises Class B alarm with derate</t>
        </is>
      </c>
      <c r="K47" s="72" t="inlineStr">
        <is>
          <t>Loco on HV, logging</t>
        </is>
      </c>
      <c r="L47" s="72" t="inlineStr">
        <is>
          <t>SHOULD</t>
        </is>
      </c>
      <c r="M47" s="72" t="inlineStr">
        <is>
          <t>None</t>
        </is>
      </c>
      <c r="N47" s="72" t="inlineStr">
        <is>
          <t>F59, F61</t>
        </is>
      </c>
      <c r="O47" s="72" t="n"/>
      <c r="P47" s="72" t="inlineStr">
        <is>
          <t>Model: pump loss exceeds 63 C at onset under load; fan loss ~9-12 min at 40-45 C</t>
        </is>
      </c>
      <c r="Q47" s="72" t="inlineStr">
        <is>
          <t>Not started</t>
        </is>
      </c>
      <c r="R47" s="72" t="n"/>
      <c r="S47" s="72" t="n"/>
    </row>
    <row r="48" ht="23.25" customHeight="1" s="65">
      <c r="A48" s="71" t="inlineStr">
        <is>
          <t>H-19</t>
        </is>
      </c>
      <c r="B48" s="71" t="inlineStr">
        <is>
          <t>G4 Dead-in-tow ready</t>
        </is>
      </c>
      <c r="C48" s="71" t="inlineStr">
        <is>
          <t>Huntington</t>
        </is>
      </c>
      <c r="D48" s="71" t="inlineStr">
        <is>
          <t>72 V system lasts the whole tow with monitoring on</t>
        </is>
      </c>
      <c r="E48" s="71" t="inlineStr">
        <is>
          <t>VMS, UPS, 72 V</t>
        </is>
      </c>
      <c r="F48" s="71" t="inlineStr">
        <is>
          <t>Voltify</t>
        </is>
      </c>
      <c r="G48" s="71" t="inlineStr">
        <is>
          <t>Micah</t>
        </is>
      </c>
      <c r="H48" s="71" t="inlineStr">
        <is>
          <t>H-32</t>
        </is>
      </c>
      <c r="I48" s="71" t="inlineStr">
        <is>
          <t>Run the chosen tow monitoring mode (lean or full) on the 72 V battery for 48 h; log draw</t>
        </is>
      </c>
      <c r="J48" s="71" t="inlineStr">
        <is>
          <t>Measured draw x tow duration (up to 1.5 wk) &lt; 50% of 72 V battery; wake works after</t>
        </is>
      </c>
      <c r="K48" s="71" t="inlineStr">
        <is>
          <t>Clamp meter</t>
        </is>
      </c>
      <c r="L48" s="71" t="inlineStr">
        <is>
          <t>MUST</t>
        </is>
      </c>
      <c r="M48" s="71" t="inlineStr">
        <is>
          <t>None</t>
        </is>
      </c>
      <c r="N48" s="71" t="inlineStr">
        <is>
          <t>F17, F44</t>
        </is>
      </c>
      <c r="O48" s="71" t="n"/>
      <c r="P48" s="71" t="n"/>
      <c r="Q48" s="71" t="inlineStr">
        <is>
          <t>Not started</t>
        </is>
      </c>
      <c r="R48" s="71" t="n"/>
      <c r="S48" s="71" t="n"/>
    </row>
    <row r="49" ht="34.5" customHeight="1" s="65">
      <c r="A49" s="71" t="inlineStr">
        <is>
          <t>H-20</t>
        </is>
      </c>
      <c r="B49" s="71" t="inlineStr">
        <is>
          <t>G4 Dead-in-tow ready</t>
        </is>
      </c>
      <c r="C49" s="71" t="inlineStr">
        <is>
          <t>Huntington</t>
        </is>
      </c>
      <c r="D49" s="71" t="inlineStr">
        <is>
          <t>Dead-engine air brake setup works from a trailing position</t>
        </is>
      </c>
      <c r="E49" s="71" t="inlineStr">
        <is>
          <t>CCB2 air brake, dead-engine cut-out, brake pipe, MR, handbrake</t>
        </is>
      </c>
      <c r="F49" s="71" t="inlineStr">
        <is>
          <t>Donor + Integral</t>
        </is>
      </c>
      <c r="G49" s="71" t="inlineStr">
        <is>
          <t>Dragan</t>
        </is>
      </c>
      <c r="H49" s="71" t="inlineStr">
        <is>
          <t>H-10</t>
        </is>
      </c>
      <c r="I49" s="71" t="inlineStr">
        <is>
          <t>Configure CCB2 for dead-in-tow per NYAB procedure; charge from a lead unit or yard air via brake pipe; apply/release from the lead</t>
        </is>
      </c>
      <c r="J49" s="71" t="inlineStr">
        <is>
          <t>Loco main reservoir charges from brake pipe; brakes apply and release with the train; no drag; handbrake holds</t>
        </is>
      </c>
      <c r="K49" s="71" t="inlineStr">
        <is>
          <t>Yard air or lead unit, single-car test device, NYAB DIT procedure</t>
        </is>
      </c>
      <c r="L49" s="71" t="inlineStr">
        <is>
          <t>MUST</t>
        </is>
      </c>
      <c r="M49" s="71" t="inlineStr">
        <is>
          <t>None</t>
        </is>
      </c>
      <c r="N49" s="71" t="inlineStr">
        <is>
          <t>F40</t>
        </is>
      </c>
      <c r="O49" s="71" t="n"/>
      <c r="P49" s="71" t="n"/>
      <c r="Q49" s="71" t="inlineStr">
        <is>
          <t>Not started</t>
        </is>
      </c>
      <c r="R49" s="71" t="n"/>
      <c r="S49" s="71" t="n"/>
    </row>
    <row r="50" ht="34.5" customHeight="1" s="65">
      <c r="A50" s="71" t="inlineStr">
        <is>
          <t>H-22</t>
        </is>
      </c>
      <c r="B50" s="71" t="inlineStr">
        <is>
          <t>G4 Dead-in-tow ready</t>
        </is>
      </c>
      <c r="C50" s="71" t="inlineStr">
        <is>
          <t>Huntington</t>
        </is>
      </c>
      <c r="D50" s="71" t="inlineStr">
        <is>
          <t>Pantographs folded and mechanically locked, or not fitted, for the tow; inside Plate M</t>
        </is>
      </c>
      <c r="E50" s="71" t="inlineStr">
        <is>
          <t>Pantos, hatch, roof</t>
        </is>
      </c>
      <c r="F50" s="71" t="inlineStr">
        <is>
          <t>Voltify</t>
        </is>
      </c>
      <c r="G50" s="71" t="inlineStr">
        <is>
          <t>Dave</t>
        </is>
      </c>
      <c r="H50" s="71" t="inlineStr">
        <is>
          <t>Hatch installed (or not)</t>
        </is>
      </c>
      <c r="I50" s="71" t="inlineStr">
        <is>
          <t>Fold, mechanical lock, measure height</t>
        </is>
      </c>
      <c r="J50" s="71" t="inlineStr">
        <is>
          <t>Inside AAR Plate M; locks hold</t>
        </is>
      </c>
      <c r="K50" s="71" t="inlineStr">
        <is>
          <t>Tape/laser, lift</t>
        </is>
      </c>
      <c r="L50" s="71" t="inlineStr">
        <is>
          <t>MUST</t>
        </is>
      </c>
      <c r="M50" s="71" t="inlineStr">
        <is>
          <t>None</t>
        </is>
      </c>
      <c r="N50" s="71" t="inlineStr">
        <is>
          <t>F14, F42</t>
        </is>
      </c>
      <c r="O50" s="71" t="inlineStr">
        <is>
          <t>Hatch into Dec</t>
        </is>
      </c>
      <c r="P50" s="71" t="inlineStr">
        <is>
          <t>Hatch runs into Dec; tow without pantos is acceptable</t>
        </is>
      </c>
      <c r="Q50" s="71" t="inlineStr">
        <is>
          <t>Not started</t>
        </is>
      </c>
      <c r="R50" s="71" t="n"/>
      <c r="S50" s="71" t="n"/>
    </row>
    <row r="51" ht="79.5" customHeight="1" s="65">
      <c r="A51" s="71" t="inlineStr">
        <is>
          <t>H-23</t>
        </is>
      </c>
      <c r="B51" s="71" t="inlineStr">
        <is>
          <t>G4 Dead-in-tow ready</t>
        </is>
      </c>
      <c r="C51" s="71" t="inlineStr">
        <is>
          <t>Huntington</t>
        </is>
      </c>
      <c r="D51" s="71" t="inlineStr">
        <is>
          <t>CSX mechanical acceptance for dead-in-tow movement</t>
        </is>
      </c>
      <c r="E51" s="71" t="inlineStr">
        <is>
          <t>Running gear, brakes, safety appliances, records</t>
        </is>
      </c>
      <c r="F51" s="71" t="inlineStr">
        <is>
          <t>Voltify + CSX</t>
        </is>
      </c>
      <c r="G51" s="71" t="inlineStr">
        <is>
          <t>Dragan / Daphna</t>
        </is>
      </c>
      <c r="H51" s="71" t="inlineStr">
        <is>
          <t>H-20, H-26</t>
        </is>
      </c>
      <c r="I51" s="71" t="inlineStr">
        <is>
          <t>CSX mechanical inspection; move as a non-complying locomotive under 49 CFR 229.9 tag (CSX sets max speed and restrictions) unless a periodic inspection is current; Class I air brake test as a car in the train (Part 232); safety appliances (Part 231); battery/hazmat paperwork review</t>
        </is>
      </c>
      <c r="J51" s="71" t="inlineStr">
        <is>
          <t>Written CSX acceptance and routing instructions (speed, position in train, no-hump)</t>
        </is>
      </c>
      <c r="K51" s="71" t="inlineStr">
        <is>
          <t>CSX carman, FRA inspector</t>
        </is>
      </c>
      <c r="L51" s="71" t="inlineStr">
        <is>
          <t>MUST</t>
        </is>
      </c>
      <c r="M51" s="71" t="inlineStr">
        <is>
          <t>None</t>
        </is>
      </c>
      <c r="N51" s="71" t="inlineStr">
        <is>
          <t>F27</t>
        </is>
      </c>
      <c r="O51" s="71" t="n"/>
      <c r="P51" s="71" t="inlineStr">
        <is>
          <t>Still the largest schedule unknown, but much smaller than own-power mainline acceptance</t>
        </is>
      </c>
      <c r="Q51" s="71" t="inlineStr">
        <is>
          <t>Not started</t>
        </is>
      </c>
      <c r="R51" s="71" t="n"/>
      <c r="S51" s="71" t="n"/>
    </row>
    <row r="52" ht="124.5" customHeight="1" s="65">
      <c r="A52" s="71" t="inlineStr">
        <is>
          <t>H-24</t>
        </is>
      </c>
      <c r="B52" s="71" t="inlineStr">
        <is>
          <t>G4 Dead-in-tow ready</t>
        </is>
      </c>
      <c r="C52" s="71" t="inlineStr">
        <is>
          <t>Huntington</t>
        </is>
      </c>
      <c r="D52" s="71" t="inlineStr">
        <is>
          <t>Put the locomotive into its tow configuration</t>
        </is>
      </c>
      <c r="E52" s="71" t="inlineStr">
        <is>
          <t>HV isolation, traction motors, MU, packs, cab, placards</t>
        </is>
      </c>
      <c r="F52" s="71" t="inlineStr">
        <is>
          <t>Voltify</t>
        </is>
      </c>
      <c r="G52" s="71" t="inlineStr">
        <is>
          <t>Production lead</t>
        </is>
      </c>
      <c r="H52" s="71" t="inlineStr">
        <is>
          <t>H-23</t>
        </is>
      </c>
      <c r="I52" s="71" t="inlineStr">
        <is>
          <t>Open all string and DC-link contactors and verify de-energized (RTV/HV probe); engage grounding switch (padlock optional per Dragan); isolate traction motors; isolate MU trainlines; CCB-2E dead-engine cut-out IN; compressor not required; release electric handbrake (H-33); set pack SOC to the tow window; torque-check and paint-mark joints; restrain packs; lock doors; post placards and the emergency response sheet; install shock/temperature logger; tag control stand DEAD-IN-TOW</t>
        </is>
      </c>
      <c r="J52" s="71" t="inlineStr">
        <is>
          <t>Tow checklist 100% signed by two people</t>
        </is>
      </c>
      <c r="K52" s="71" t="inlineStr">
        <is>
          <t>Torque wrenches, logger, placards; padlocks optional</t>
        </is>
      </c>
      <c r="L52" s="71" t="inlineStr">
        <is>
          <t>MUST</t>
        </is>
      </c>
      <c r="M52" s="71" t="inlineStr">
        <is>
          <t>None</t>
        </is>
      </c>
      <c r="N52" s="71" t="inlineStr">
        <is>
          <t>F26, F28, F38, F39, F43, F45</t>
        </is>
      </c>
      <c r="O52" s="71" t="inlineStr">
        <is>
          <t>Starlink incomplete</t>
        </is>
      </c>
      <c r="P52" s="71" t="n"/>
      <c r="Q52" s="71" t="inlineStr">
        <is>
          <t>Not started</t>
        </is>
      </c>
      <c r="R52" s="71" t="n"/>
      <c r="S52" s="71" t="n"/>
    </row>
    <row r="53" ht="34.5" customHeight="1" s="65">
      <c r="A53" s="71" t="inlineStr">
        <is>
          <t>H-25</t>
        </is>
      </c>
      <c r="B53" s="71" t="inlineStr">
        <is>
          <t>G4 Dead-in-tow ready</t>
        </is>
      </c>
      <c r="C53" s="71" t="inlineStr">
        <is>
          <t>Huntington</t>
        </is>
      </c>
      <c r="D53" s="71" t="inlineStr">
        <is>
          <t>Traction motors cannot back-feed voltage while being towed</t>
        </is>
      </c>
      <c r="E53" s="71" t="inlineStr">
        <is>
          <t>D77 motors, MCO/reverser, choppers, DC-link</t>
        </is>
      </c>
      <c r="F53" s="71" t="inlineStr">
        <is>
          <t>Integral + Voltify</t>
        </is>
      </c>
      <c r="G53" s="71" t="inlineStr">
        <is>
          <t>Integral + Mitchell</t>
        </is>
      </c>
      <c r="H53" s="71" t="inlineStr">
        <is>
          <t>HV isolated (H-24 HV steps)</t>
        </is>
      </c>
      <c r="I53" s="71" t="inlineStr">
        <is>
          <t>Move the loco slowly (switcher or shop mule) with control power OFF; measure voltage at motor leads, chopper inputs and DC-link</t>
        </is>
      </c>
      <c r="J53" s="71" t="inlineStr">
        <is>
          <t>Below 50 V at every point at test speed; MCO/reverser state verified with control power off</t>
        </is>
      </c>
      <c r="K53" s="71" t="inlineStr">
        <is>
          <t>Shop mule, HV probes, DMM</t>
        </is>
      </c>
      <c r="L53" s="71" t="inlineStr">
        <is>
          <t>MUST (safety)</t>
        </is>
      </c>
      <c r="M53" s="71" t="inlineStr">
        <is>
          <t>None</t>
        </is>
      </c>
      <c r="N53" s="71" t="inlineStr">
        <is>
          <t>F38</t>
        </is>
      </c>
      <c r="O53" s="71" t="n"/>
      <c r="P53" s="71" t="inlineStr">
        <is>
          <t>Spec removed manual TM cutout switches; confirm safe state with LCC unpowered</t>
        </is>
      </c>
      <c r="Q53" s="71" t="inlineStr">
        <is>
          <t>Not started</t>
        </is>
      </c>
      <c r="R53" s="71" t="n"/>
      <c r="S53" s="71" t="n"/>
    </row>
    <row r="54" ht="34.5" customHeight="1" s="65">
      <c r="A54" s="71" t="inlineStr">
        <is>
          <t>H-26</t>
        </is>
      </c>
      <c r="B54" s="71" t="inlineStr">
        <is>
          <t>G4 Dead-in-tow ready</t>
        </is>
      </c>
      <c r="C54" s="71" t="inlineStr">
        <is>
          <t>Huntington</t>
        </is>
      </c>
      <c r="D54" s="71" t="inlineStr">
        <is>
          <t>Running gear is fit for a 750-900 mile tow</t>
        </is>
      </c>
      <c r="E54" s="71" t="inlineStr">
        <is>
          <t>Wheels, journal bearings, TM suspension bearings, gear cases, brake rigging</t>
        </is>
      </c>
      <c r="F54" s="71" t="inlineStr">
        <is>
          <t>Donor (Dragan)</t>
        </is>
      </c>
      <c r="G54" s="71" t="inlineStr">
        <is>
          <t>Dragan</t>
        </is>
      </c>
      <c r="H54" s="71" t="inlineStr">
        <is>
          <t>Trucks installed</t>
        </is>
      </c>
      <c r="I54" s="71" t="inlineStr">
        <is>
          <t>Wheel and bearing inspection; fill TM suspension bearing oil and gear case lube; set brake piston travel</t>
        </is>
      </c>
      <c r="J54" s="71" t="inlineStr">
        <is>
          <t>All within FRA/AAR limits; lube levels recorded</t>
        </is>
      </c>
      <c r="K54" s="71" t="inlineStr">
        <is>
          <t>Lube supplies, wheel gauges</t>
        </is>
      </c>
      <c r="L54" s="71" t="inlineStr">
        <is>
          <t>MUST</t>
        </is>
      </c>
      <c r="M54" s="71" t="inlineStr">
        <is>
          <t>None</t>
        </is>
      </c>
      <c r="N54" s="71" t="inlineStr">
        <is>
          <t>F41</t>
        </is>
      </c>
      <c r="O54" s="71" t="n"/>
      <c r="P54" s="71" t="n"/>
      <c r="Q54" s="71" t="inlineStr">
        <is>
          <t>Not started</t>
        </is>
      </c>
      <c r="R54" s="71" t="n"/>
      <c r="S54" s="71" t="n"/>
    </row>
    <row r="55" ht="34.5" customHeight="1" s="65">
      <c r="A55" s="71" t="inlineStr">
        <is>
          <t>H-27</t>
        </is>
      </c>
      <c r="B55" s="71" t="inlineStr">
        <is>
          <t>G4 Dead-in-tow ready</t>
        </is>
      </c>
      <c r="C55" s="71" t="inlineStr">
        <is>
          <t>Huntington</t>
        </is>
      </c>
      <c r="D55" s="71" t="inlineStr">
        <is>
          <t>MU trainline signals cannot command the prototype</t>
        </is>
      </c>
      <c r="E55" s="71" t="inlineStr">
        <is>
          <t>MU receptacles, LCC, VMS</t>
        </is>
      </c>
      <c r="F55" s="71" t="inlineStr">
        <is>
          <t>Integral + Voltify</t>
        </is>
      </c>
      <c r="G55" s="71" t="inlineStr">
        <is>
          <t>Integral</t>
        </is>
      </c>
      <c r="H55" s="71" t="inlineStr">
        <is>
          <t>H-03</t>
        </is>
      </c>
      <c r="I55" s="71" t="inlineStr">
        <is>
          <t>Apply trainline throttle, reverser, sand and headlight signals from an MU test box with the loco in tow config</t>
        </is>
      </c>
      <c r="J55" s="71" t="inlineStr">
        <is>
          <t>No contactor, inverter or actuator responds</t>
        </is>
      </c>
      <c r="K55" s="71" t="inlineStr">
        <is>
          <t>MU test box, dummy receptacle plugs</t>
        </is>
      </c>
      <c r="L55" s="71" t="inlineStr">
        <is>
          <t>MUST</t>
        </is>
      </c>
      <c r="M55" s="71" t="inlineStr">
        <is>
          <t>None</t>
        </is>
      </c>
      <c r="N55" s="71" t="inlineStr">
        <is>
          <t>F39</t>
        </is>
      </c>
      <c r="O55" s="71" t="n"/>
      <c r="P55" s="71" t="n"/>
      <c r="Q55" s="71" t="inlineStr">
        <is>
          <t>Not started</t>
        </is>
      </c>
      <c r="R55" s="71" t="n"/>
      <c r="S55" s="71" t="n"/>
    </row>
    <row r="56" ht="34.5" customHeight="1" s="65">
      <c r="A56" s="71" t="inlineStr">
        <is>
          <t>H-28</t>
        </is>
      </c>
      <c r="B56" s="71" t="inlineStr">
        <is>
          <t>G4 Dead-in-tow ready</t>
        </is>
      </c>
      <c r="C56" s="71" t="inlineStr">
        <is>
          <t>Huntington</t>
        </is>
      </c>
      <c r="D56" s="71" t="inlineStr">
        <is>
          <t>Emergency responders know what they are looking at</t>
        </is>
      </c>
      <c r="E56" s="71" t="inlineStr">
        <is>
          <t>Placards, emergency response sheet, contacts</t>
        </is>
      </c>
      <c r="F56" s="71" t="inlineStr">
        <is>
          <t>Voltify</t>
        </is>
      </c>
      <c r="G56" s="71" t="inlineStr">
        <is>
          <t>Bill</t>
        </is>
      </c>
      <c r="H56" s="71" t="inlineStr">
        <is>
          <t>H-24</t>
        </is>
      </c>
      <c r="I56" s="71" t="inlineStr">
        <is>
          <t>Prepare Li-ion emergency response info (chemistry, energy, SOC, HV isolation points, 24/7 contact); review with CSX hazmat</t>
        </is>
      </c>
      <c r="J56" s="71" t="inlineStr">
        <is>
          <t>CSX hazmat sign-off; copies in cab and with waybill</t>
        </is>
      </c>
      <c r="K56" s="71" t="inlineStr">
        <is>
          <t>Placards, printed ERG sheet</t>
        </is>
      </c>
      <c r="L56" s="71" t="inlineStr">
        <is>
          <t>MUST</t>
        </is>
      </c>
      <c r="M56" s="71" t="inlineStr">
        <is>
          <t>None</t>
        </is>
      </c>
      <c r="N56" s="71" t="inlineStr">
        <is>
          <t>F43</t>
        </is>
      </c>
      <c r="O56" s="71" t="n"/>
      <c r="P56" s="71" t="n"/>
      <c r="Q56" s="71" t="inlineStr">
        <is>
          <t>Not started</t>
        </is>
      </c>
      <c r="R56" s="71" t="n"/>
      <c r="S56" s="71" t="n"/>
    </row>
    <row r="57" ht="34.5" customHeight="1" s="65">
      <c r="A57" s="72" t="inlineStr">
        <is>
          <t>H-33</t>
        </is>
      </c>
      <c r="B57" s="72" t="inlineStr">
        <is>
          <t>G4 Dead-in-tow ready</t>
        </is>
      </c>
      <c r="C57" s="72" t="inlineStr">
        <is>
          <t>Huntington</t>
        </is>
      </c>
      <c r="D57" s="72" t="inlineStr">
        <is>
          <t>Electric handbrake can be applied and released with 72 V off</t>
        </is>
      </c>
      <c r="E57" s="72" t="inlineStr">
        <is>
          <t>Graham-White electric handbrake, brake-applied indication</t>
        </is>
      </c>
      <c r="F57" s="72" t="inlineStr">
        <is>
          <t>Donor (Dragan)</t>
        </is>
      </c>
      <c r="G57" s="72" t="inlineStr">
        <is>
          <t>Dragan</t>
        </is>
      </c>
      <c r="H57" s="72" t="inlineStr">
        <is>
          <t>Handbrake installed</t>
        </is>
      </c>
      <c r="I57" s="72" t="inlineStr">
        <is>
          <t>With 72 V off, apply and release using the manual method; verify brake-applied indication behaviour</t>
        </is>
      </c>
      <c r="J57" s="72" t="inlineStr">
        <is>
          <t>Applies and releases manually; holds the loco on the shop grade; released state verified before tow</t>
        </is>
      </c>
      <c r="K57" s="72" t="inlineStr">
        <is>
          <t>Supplier manual</t>
        </is>
      </c>
      <c r="L57" s="72" t="inlineStr">
        <is>
          <t>MUST</t>
        </is>
      </c>
      <c r="M57" s="72" t="inlineStr">
        <is>
          <t>None</t>
        </is>
      </c>
      <c r="N57" s="72" t="inlineStr">
        <is>
          <t>F45</t>
        </is>
      </c>
      <c r="O57" s="72" t="n"/>
      <c r="P57" s="72" t="inlineStr">
        <is>
          <t>New gap from dead-in-tow review</t>
        </is>
      </c>
      <c r="Q57" s="72" t="inlineStr">
        <is>
          <t>Not started</t>
        </is>
      </c>
      <c r="R57" s="72" t="n"/>
      <c r="S57" s="72" t="n"/>
    </row>
    <row r="58" ht="34.5" customHeight="1" s="65">
      <c r="A58" s="71" t="inlineStr">
        <is>
          <t>T-01</t>
        </is>
      </c>
      <c r="B58" s="71" t="inlineStr">
        <is>
          <t>G5 Tow</t>
        </is>
      </c>
      <c r="C58" s="71" t="inlineStr">
        <is>
          <t>In train (CSX)</t>
        </is>
      </c>
      <c r="D58" s="71" t="inlineStr">
        <is>
          <t>Monitor the pack during the tow</t>
        </is>
      </c>
      <c r="E58" s="71" t="inlineStr">
        <is>
          <t>Logger; lean telemetry (BCUs on 72 V)</t>
        </is>
      </c>
      <c r="F58" s="71" t="inlineStr">
        <is>
          <t>Voltify</t>
        </is>
      </c>
      <c r="G58" s="71" t="inlineStr">
        <is>
          <t>Bill / Matan</t>
        </is>
      </c>
      <c r="H58" s="71" t="inlineStr">
        <is>
          <t>H-24</t>
        </is>
      </c>
      <c r="I58" s="71" t="inlineStr">
        <is>
          <t>Watch remote alerts (cell temperature, smoke if fitted); CSX crew checks at crew changes per instructions</t>
        </is>
      </c>
      <c r="J58" s="71" t="inlineStr">
        <is>
          <t>No temperature or smoke alert; logger peak shock below agreed limit</t>
        </is>
      </c>
      <c r="K58" s="71" t="inlineStr">
        <is>
          <t>Cellular telemetry or standalone logger</t>
        </is>
      </c>
      <c r="L58" s="71" t="inlineStr">
        <is>
          <t>MUST</t>
        </is>
      </c>
      <c r="M58" s="71" t="inlineStr">
        <is>
          <t>None</t>
        </is>
      </c>
      <c r="N58" s="71" t="inlineStr">
        <is>
          <t>F43, F44</t>
        </is>
      </c>
      <c r="O58" s="71" t="n"/>
      <c r="P58" s="71" t="inlineStr">
        <is>
          <t>A Voltify rider is unlikely to be permitted in a dead unit</t>
        </is>
      </c>
      <c r="Q58" s="71" t="inlineStr">
        <is>
          <t>Not started</t>
        </is>
      </c>
      <c r="R58" s="71" t="n"/>
      <c r="S58" s="71" t="n"/>
    </row>
    <row r="59" ht="34.5" customHeight="1" s="65">
      <c r="A59" s="71" t="inlineStr">
        <is>
          <t>J-01</t>
        </is>
      </c>
      <c r="B59" s="71" t="inlineStr">
        <is>
          <t>G6 Recommission</t>
        </is>
      </c>
      <c r="C59" s="71" t="inlineStr">
        <is>
          <t>Jacksonville</t>
        </is>
      </c>
      <c r="D59" s="71" t="inlineStr">
        <is>
          <t>Nothing came loose or got hurt in the tow</t>
        </is>
      </c>
      <c r="E59" s="71" t="inlineStr">
        <is>
          <t>Busbars, connectors, packs, coolant</t>
        </is>
      </c>
      <c r="F59" s="71" t="inlineStr">
        <is>
          <t>Voltify</t>
        </is>
      </c>
      <c r="G59" s="71" t="inlineStr">
        <is>
          <t>Production lead</t>
        </is>
      </c>
      <c r="H59" s="71" t="inlineStr">
        <is>
          <t>Arrived</t>
        </is>
      </c>
      <c r="I59" s="71" t="inlineStr">
        <is>
          <t>Read shock logger; inspect torque marks; IR test; coolant level; cell imbalance; then undo the tow configuration (motors, MU, grounding switch)</t>
        </is>
      </c>
      <c r="J59" s="71" t="inlineStr">
        <is>
          <t>No broken marks; IR &gt;= baseline x 0.5; imbalance within limit</t>
        </is>
      </c>
      <c r="K59" s="71" t="inlineStr">
        <is>
          <t>Megger, IR camera</t>
        </is>
      </c>
      <c r="L59" s="71" t="inlineStr">
        <is>
          <t>MUST</t>
        </is>
      </c>
      <c r="M59" s="71" t="inlineStr">
        <is>
          <t>None</t>
        </is>
      </c>
      <c r="N59" s="71" t="inlineStr">
        <is>
          <t>F28, F29, F38</t>
        </is>
      </c>
      <c r="O59" s="71" t="n"/>
      <c r="P59" s="71" t="n"/>
      <c r="Q59" s="71" t="inlineStr">
        <is>
          <t>Not started</t>
        </is>
      </c>
      <c r="R59" s="71" t="n"/>
      <c r="S59" s="71" t="n"/>
    </row>
    <row r="60" ht="23.25" customHeight="1" s="65">
      <c r="A60" s="71" t="inlineStr">
        <is>
          <t>J-02</t>
        </is>
      </c>
      <c r="B60" s="71" t="inlineStr">
        <is>
          <t>G6 Recommission</t>
        </is>
      </c>
      <c r="C60" s="71" t="inlineStr">
        <is>
          <t>Jacksonville</t>
        </is>
      </c>
      <c r="D60" s="71" t="inlineStr">
        <is>
          <t>Regression: LV/HV power-up and E-Stop at full voltage after the tow</t>
        </is>
      </c>
      <c r="E60" s="71" t="inlineStr">
        <is>
          <t>Whole loco</t>
        </is>
      </c>
      <c r="F60" s="71" t="inlineStr">
        <is>
          <t>All</t>
        </is>
      </c>
      <c r="G60" s="71" t="inlineStr">
        <is>
          <t>Bill</t>
        </is>
      </c>
      <c r="H60" s="71" t="inlineStr">
        <is>
          <t>J-01</t>
        </is>
      </c>
      <c r="I60" s="71" t="inlineStr">
        <is>
          <t>Repeat H-03, H-05, H-07, H-09</t>
        </is>
      </c>
      <c r="J60" s="71" t="inlineStr">
        <is>
          <t>Same pass lines as Huntington</t>
        </is>
      </c>
      <c r="K60" s="71" t="inlineStr">
        <is>
          <t>Track access</t>
        </is>
      </c>
      <c r="L60" s="71" t="inlineStr">
        <is>
          <t>MUST</t>
        </is>
      </c>
      <c r="M60" s="71" t="inlineStr">
        <is>
          <t>None</t>
        </is>
      </c>
      <c r="N60" s="71" t="inlineStr">
        <is>
          <t>F01</t>
        </is>
      </c>
      <c r="O60" s="71" t="n"/>
      <c r="P60" s="71" t="n"/>
      <c r="Q60" s="71" t="inlineStr">
        <is>
          <t>Not started</t>
        </is>
      </c>
      <c r="R60" s="71" t="n"/>
      <c r="S60" s="71" t="n"/>
    </row>
    <row r="61" ht="23.25" customHeight="1" s="65">
      <c r="A61" s="71" t="inlineStr">
        <is>
          <t>J-02B</t>
        </is>
      </c>
      <c r="B61" s="71" t="inlineStr">
        <is>
          <t>G6 Recommission</t>
        </is>
      </c>
      <c r="C61" s="71" t="inlineStr">
        <is>
          <t>Jacksonville</t>
        </is>
      </c>
      <c r="D61" s="71" t="inlineStr">
        <is>
          <t>SHOWCASE 1: accelerate and hold speed for 20 minutes</t>
        </is>
      </c>
      <c r="E61" s="71" t="inlineStr">
        <is>
          <t>Whole loco</t>
        </is>
      </c>
      <c r="F61" s="71" t="inlineStr">
        <is>
          <t>All</t>
        </is>
      </c>
      <c r="G61" s="71" t="inlineStr">
        <is>
          <t>Bill (test director)</t>
        </is>
      </c>
      <c r="H61" s="71" t="inlineStr">
        <is>
          <t>J-02</t>
        </is>
      </c>
      <c r="I61" s="71" t="inlineStr">
        <is>
          <t>Accelerate to 10 mph (TBD); hold 20 min; repeat in reverse</t>
        </is>
      </c>
      <c r="J61" s="71" t="inlineStr">
        <is>
          <t>No latched faults; battery current &lt;= 1,884 A; temperatures in limits; speed holds +/- 1 mph</t>
        </is>
      </c>
      <c r="K61" s="71" t="inlineStr">
        <is>
          <t>~3.3 mi of track or repeated passes at JAX; DAQ</t>
        </is>
      </c>
      <c r="L61" s="71" t="inlineStr">
        <is>
          <t>MUST</t>
        </is>
      </c>
      <c r="M61" s="71" t="inlineStr">
        <is>
          <t>None</t>
        </is>
      </c>
      <c r="N61" s="71" t="inlineStr">
        <is>
          <t>F20, F22, F23</t>
        </is>
      </c>
      <c r="O61" s="71" t="n"/>
      <c r="P61" s="71" t="inlineStr">
        <is>
          <t>First run here if H-14 was not done</t>
        </is>
      </c>
      <c r="Q61" s="71" t="inlineStr">
        <is>
          <t>Not started</t>
        </is>
      </c>
      <c r="R61" s="71" t="n"/>
      <c r="S61" s="71" t="n"/>
    </row>
    <row r="62" ht="23.25" customHeight="1" s="65">
      <c r="A62" s="74" t="inlineStr">
        <is>
          <t>J-03</t>
        </is>
      </c>
      <c r="B62" s="74" t="inlineStr">
        <is>
          <t>G7 Charging infra</t>
        </is>
      </c>
      <c r="C62" s="74" t="inlineStr">
        <is>
          <t>Jacksonville</t>
        </is>
      </c>
      <c r="D62" s="74" t="inlineStr">
        <is>
          <t>Wayside side is ready: charger, wire, protection, grounding</t>
        </is>
      </c>
      <c r="E62" s="74" t="inlineStr">
        <is>
          <t>AES charger, contact wire, mast, microgrid PLC</t>
        </is>
      </c>
      <c r="F62" s="74" t="inlineStr">
        <is>
          <t>Voltify site team</t>
        </is>
      </c>
      <c r="G62" s="74" t="inlineStr">
        <is>
          <t>Oren / Matan</t>
        </is>
      </c>
      <c r="H62" s="74" t="inlineStr">
        <is>
          <t>AES delivered; Dynapower commissioned</t>
        </is>
      </c>
      <c r="I62" s="74" t="inlineStr">
        <is>
          <t>Site acceptance; polarity and return path; protection settings</t>
        </is>
      </c>
      <c r="J62" s="74" t="inlineStr">
        <is>
          <t>Signed site acceptance; polarity documented; DPS100 current limits set to 833 A each (1,666 A total) and ground ESS discharge limit 0.5C (2.1 MW) verified in the site acceptance</t>
        </is>
      </c>
      <c r="K62" s="74" t="inlineStr">
        <is>
          <t>Site test kit</t>
        </is>
      </c>
      <c r="L62" s="74" t="inlineStr">
        <is>
          <t>MUST</t>
        </is>
      </c>
      <c r="M62" s="74" t="inlineStr">
        <is>
          <t>None</t>
        </is>
      </c>
      <c r="N62" s="74" t="inlineStr">
        <is>
          <t>F13</t>
        </is>
      </c>
      <c r="O62" s="74" t="inlineStr">
        <is>
          <t>AES ETA late Nov-mid Dec</t>
        </is>
      </c>
      <c r="P62" s="74" t="n"/>
      <c r="Q62" s="74" t="inlineStr">
        <is>
          <t>Not started</t>
        </is>
      </c>
      <c r="R62" s="74" t="n"/>
      <c r="S62" s="74" t="n"/>
    </row>
    <row r="63" ht="23.25" customHeight="1" s="65">
      <c r="A63" s="71" t="inlineStr">
        <is>
          <t>J-04</t>
        </is>
      </c>
      <c r="B63" s="71" t="inlineStr">
        <is>
          <t>G7 Charging infra</t>
        </is>
      </c>
      <c r="C63" s="71" t="inlineStr">
        <is>
          <t>Jacksonville</t>
        </is>
      </c>
      <c r="D63" s="71" t="inlineStr">
        <is>
          <t>Pantographs meet the wire correctly (de-energized)</t>
        </is>
      </c>
      <c r="E63" s="71" t="inlineStr">
        <is>
          <t>Pantos, hatch, wire</t>
        </is>
      </c>
      <c r="F63" s="71" t="inlineStr">
        <is>
          <t>Voltify</t>
        </is>
      </c>
      <c r="G63" s="71" t="inlineStr">
        <is>
          <t>Dave / Micah</t>
        </is>
      </c>
      <c r="H63" s="71" t="inlineStr">
        <is>
          <t>Hatch + pantos installed</t>
        </is>
      </c>
      <c r="I63" s="71" t="inlineStr">
        <is>
          <t>Raise under dead wire; measure contact force, height, alignment</t>
        </is>
      </c>
      <c r="J63" s="71" t="inlineStr">
        <is>
          <t>Contact force in supplier range; all used heads align</t>
        </is>
      </c>
      <c r="K63" s="71" t="inlineStr">
        <is>
          <t>Force gauge, man-lift</t>
        </is>
      </c>
      <c r="L63" s="71" t="inlineStr">
        <is>
          <t>MUST</t>
        </is>
      </c>
      <c r="M63" s="71" t="inlineStr">
        <is>
          <t>None</t>
        </is>
      </c>
      <c r="N63" s="71" t="inlineStr">
        <is>
          <t>F08, F14</t>
        </is>
      </c>
      <c r="O63" s="71" t="n"/>
      <c r="P63" s="71" t="n"/>
      <c r="Q63" s="71" t="inlineStr">
        <is>
          <t>Not started</t>
        </is>
      </c>
      <c r="R63" s="71" t="n"/>
      <c r="S63" s="71" t="n"/>
    </row>
    <row r="64" ht="34.5" customHeight="1" s="65">
      <c r="A64" s="71" t="inlineStr">
        <is>
          <t>J-05</t>
        </is>
      </c>
      <c r="B64" s="71" t="inlineStr">
        <is>
          <t>G7 Charging infra</t>
        </is>
      </c>
      <c r="C64" s="71" t="inlineStr">
        <is>
          <t>Jacksonville</t>
        </is>
      </c>
      <c r="D64" s="71" t="inlineStr">
        <is>
          <t>Live wire, no current: sensing, polarity, reverser, HSCB close</t>
        </is>
      </c>
      <c r="E64" s="71" t="inlineStr">
        <is>
          <t>Panto ctrl, reverser, HSCB, panto panel</t>
        </is>
      </c>
      <c r="F64" s="71" t="inlineStr">
        <is>
          <t>Voltify</t>
        </is>
      </c>
      <c r="G64" s="71" t="inlineStr">
        <is>
          <t>Micah</t>
        </is>
      </c>
      <c r="H64" s="71" t="inlineStr">
        <is>
          <t>J-03, J-04</t>
        </is>
      </c>
      <c r="I64" s="71" t="inlineStr">
        <is>
          <t>Energize wire; read V and polarity; close HSCB</t>
        </is>
      </c>
      <c r="J64" s="71" t="inlineStr">
        <is>
          <t>Polarity correct and selected automatically; HSCB closes on command (trip test in J-23)</t>
        </is>
      </c>
      <c r="K64" s="71" t="inlineStr">
        <is>
          <t>Scope, HV probes</t>
        </is>
      </c>
      <c r="L64" s="71" t="inlineStr">
        <is>
          <t>MUST</t>
        </is>
      </c>
      <c r="M64" s="71" t="inlineStr">
        <is>
          <t>None</t>
        </is>
      </c>
      <c r="N64" s="71" t="inlineStr">
        <is>
          <t>F09</t>
        </is>
      </c>
      <c r="O64" s="71" t="n"/>
      <c r="P64" s="71" t="inlineStr">
        <is>
          <t>v1.1: HSCB retained (RSK-NEW-16); trip and interlock test in J-23</t>
        </is>
      </c>
      <c r="Q64" s="71" t="inlineStr">
        <is>
          <t>Not started</t>
        </is>
      </c>
      <c r="R64" s="71" t="n"/>
      <c r="S64" s="71" t="n"/>
    </row>
    <row r="65" ht="34.5" customHeight="1" s="65">
      <c r="A65" s="74" t="inlineStr">
        <is>
          <t>J-06</t>
        </is>
      </c>
      <c r="B65" s="74" t="inlineStr">
        <is>
          <t>G8 Static charge</t>
        </is>
      </c>
      <c r="C65" s="74" t="inlineStr">
        <is>
          <t>Jacksonville</t>
        </is>
      </c>
      <c r="D65" s="74" t="inlineStr">
        <is>
          <t>Static charging power ramp and loss measurement</t>
        </is>
      </c>
      <c r="E65" s="74" t="inlineStr">
        <is>
          <t>ITV, pantos, battery, BTMS, PE loop</t>
        </is>
      </c>
      <c r="F65" s="74" t="inlineStr">
        <is>
          <t>Voltify + Integral</t>
        </is>
      </c>
      <c r="G65" s="74" t="inlineStr">
        <is>
          <t>Micah + Integral</t>
        </is>
      </c>
      <c r="H65" s="74" t="inlineStr">
        <is>
          <t>J-05, ITV installed</t>
        </is>
      </c>
      <c r="I65" s="74" t="inlineStr">
        <is>
          <t>Steps 0.1 -&gt; 0.5 -&gt; 1.0 -&gt; 1.5 -&gt; 2.1 MW demo limit (wire current &lt;= 1,666 A); hold each 10 min</t>
        </is>
      </c>
      <c r="J65" s="74" t="inlineStr">
        <is>
          <t>Charge current within cell limit; strip, busbar, ITV, battery temps within limits; loss measured at each step; wire current &lt;= 1,666 A and wire power &lt;= 2.1 MW at every step</t>
        </is>
      </c>
      <c r="K65" s="74" t="inlineStr">
        <is>
          <t>Wayside meter, DAQ, IR camera</t>
        </is>
      </c>
      <c r="L65" s="74" t="inlineStr">
        <is>
          <t>MUST</t>
        </is>
      </c>
      <c r="M65" s="74" t="inlineStr">
        <is>
          <t>None</t>
        </is>
      </c>
      <c r="N65" s="74" t="inlineStr">
        <is>
          <t>F06, F07, F08, F12</t>
        </is>
      </c>
      <c r="O65" s="74" t="inlineStr">
        <is>
          <t>ITV not delivered</t>
        </is>
      </c>
      <c r="P65" s="74" t="inlineStr">
        <is>
          <t>Charging-loss deep dive | v1.3: Demo charge limit DR-17 (was 2.5 MW cap)</t>
        </is>
      </c>
      <c r="Q65" s="74" t="inlineStr">
        <is>
          <t>Not started</t>
        </is>
      </c>
      <c r="R65" s="74" t="n"/>
      <c r="S65" s="74" t="n"/>
    </row>
    <row r="66" ht="23.25" customHeight="1" s="65">
      <c r="A66" s="71" t="inlineStr">
        <is>
          <t>J-07</t>
        </is>
      </c>
      <c r="B66" s="71" t="inlineStr">
        <is>
          <t>G8 Static charge</t>
        </is>
      </c>
      <c r="C66" s="71" t="inlineStr">
        <is>
          <t>Jacksonville</t>
        </is>
      </c>
      <c r="D66" s="71" t="inlineStr">
        <is>
          <t>Locomotive and wayside charger talk and stop each other safely</t>
        </is>
      </c>
      <c r="E66" s="71" t="inlineStr">
        <is>
          <t>VMS, PLC/microgrid, AES</t>
        </is>
      </c>
      <c r="F66" s="71" t="inlineStr">
        <is>
          <t>Voltify</t>
        </is>
      </c>
      <c r="G66" s="71" t="inlineStr">
        <is>
          <t>Matan / Micah</t>
        </is>
      </c>
      <c r="H66" s="71" t="inlineStr">
        <is>
          <t>J-03</t>
        </is>
      </c>
      <c r="I66" s="71" t="inlineStr">
        <is>
          <t>Handshake; stop on fault from each side; E-Stop notify</t>
        </is>
      </c>
      <c r="J66" s="71" t="inlineStr">
        <is>
          <t>Either side can stop current within spec; no hot disconnect</t>
        </is>
      </c>
      <c r="K66" s="71" t="inlineStr">
        <is>
          <t>CAN/ETH logs</t>
        </is>
      </c>
      <c r="L66" s="71" t="inlineStr">
        <is>
          <t>MUST</t>
        </is>
      </c>
      <c r="M66" s="71" t="inlineStr">
        <is>
          <t>None</t>
        </is>
      </c>
      <c r="N66" s="71" t="inlineStr">
        <is>
          <t>F11</t>
        </is>
      </c>
      <c r="O66" s="71" t="inlineStr">
        <is>
          <t>Line 79 on Gantt</t>
        </is>
      </c>
      <c r="P66" s="71" t="n"/>
      <c r="Q66" s="71" t="inlineStr">
        <is>
          <t>Not started</t>
        </is>
      </c>
      <c r="R66" s="71" t="n"/>
      <c r="S66" s="71" t="n"/>
    </row>
    <row r="67" ht="23.25" customHeight="1" s="65">
      <c r="A67" s="71" t="inlineStr">
        <is>
          <t>J-08</t>
        </is>
      </c>
      <c r="B67" s="71" t="inlineStr">
        <is>
          <t>G9 Dynamic charge</t>
        </is>
      </c>
      <c r="C67" s="71" t="inlineStr">
        <is>
          <t>Jacksonville</t>
        </is>
      </c>
      <c r="D67" s="71" t="inlineStr">
        <is>
          <t>Moving under the wire at 0.1-0.5 mph, no current</t>
        </is>
      </c>
      <c r="E67" s="71" t="inlineStr">
        <is>
          <t>Pantos, drivetrain</t>
        </is>
      </c>
      <c r="F67" s="71" t="inlineStr">
        <is>
          <t>All</t>
        </is>
      </c>
      <c r="G67" s="71" t="inlineStr">
        <is>
          <t>Bill</t>
        </is>
      </c>
      <c r="H67" s="71" t="inlineStr">
        <is>
          <t>J-06</t>
        </is>
      </c>
      <c r="I67" s="71" t="inlineStr">
        <is>
          <t>Raise pantos and move; check contact and arcing</t>
        </is>
      </c>
      <c r="J67" s="71" t="inlineStr">
        <is>
          <t>Continuous contact; no arcing marks; speed holds</t>
        </is>
      </c>
      <c r="K67" s="71" t="inlineStr">
        <is>
          <t>Video, IR camera</t>
        </is>
      </c>
      <c r="L67" s="71" t="inlineStr">
        <is>
          <t>MUST</t>
        </is>
      </c>
      <c r="M67" s="71" t="inlineStr">
        <is>
          <t>None</t>
        </is>
      </c>
      <c r="N67" s="71" t="inlineStr">
        <is>
          <t>F08</t>
        </is>
      </c>
      <c r="O67" s="71" t="n"/>
      <c r="P67" s="71" t="n"/>
      <c r="Q67" s="71" t="inlineStr">
        <is>
          <t>Not started</t>
        </is>
      </c>
      <c r="R67" s="71" t="n"/>
      <c r="S67" s="71" t="n"/>
    </row>
    <row r="68" ht="23.25" customHeight="1" s="65">
      <c r="A68" s="74" t="inlineStr">
        <is>
          <t>J-09</t>
        </is>
      </c>
      <c r="B68" s="74" t="inlineStr">
        <is>
          <t>G9 Dynamic charge</t>
        </is>
      </c>
      <c r="C68" s="74" t="inlineStr">
        <is>
          <t>Jacksonville</t>
        </is>
      </c>
      <c r="D68" s="74" t="inlineStr">
        <is>
          <t>SHOWCASE 2: dynamic charging at 0.5 mph</t>
        </is>
      </c>
      <c r="E68" s="74" t="inlineStr">
        <is>
          <t>Whole system</t>
        </is>
      </c>
      <c r="F68" s="74" t="inlineStr">
        <is>
          <t>All</t>
        </is>
      </c>
      <c r="G68" s="74" t="inlineStr">
        <is>
          <t>Bill</t>
        </is>
      </c>
      <c r="H68" s="74" t="inlineStr">
        <is>
          <t>J-08</t>
        </is>
      </c>
      <c r="I68" s="74" t="inlineStr">
        <is>
          <t>Segment A at the demo limit (2.1 MW, &lt;= 1,666 A) &gt;= 10 min; segment B 2 mi at ~1.03 MW</t>
        </is>
      </c>
      <c r="J68" s="74" t="inlineStr">
        <is>
          <t>Per success criteria table; no trips; temperatures in limits</t>
        </is>
      </c>
      <c r="K68" s="74" t="inlineStr">
        <is>
          <t>Wayside meter, DAQ</t>
        </is>
      </c>
      <c r="L68" s="74" t="inlineStr">
        <is>
          <t>MUST</t>
        </is>
      </c>
      <c r="M68" s="74" t="inlineStr">
        <is>
          <t>None</t>
        </is>
      </c>
      <c r="N68" s="74" t="inlineStr">
        <is>
          <t>F06, F07, F08, F11</t>
        </is>
      </c>
      <c r="O68" s="74" t="n"/>
      <c r="P68" s="74" t="inlineStr">
        <is>
          <t>DR-17 demo limit; filling 20-&gt;95% at 2.1 MW takes ~1.9 h (~1 mi at 0.5 mph)</t>
        </is>
      </c>
      <c r="Q68" s="74" t="inlineStr">
        <is>
          <t>Not started</t>
        </is>
      </c>
      <c r="R68" s="74" t="n"/>
      <c r="S68" s="74" t="n"/>
    </row>
    <row r="69" ht="23.25" customHeight="1" s="65">
      <c r="A69" s="71" t="inlineStr">
        <is>
          <t>J-10</t>
        </is>
      </c>
      <c r="B69" s="71" t="inlineStr">
        <is>
          <t>G9 Dynamic charge</t>
        </is>
      </c>
      <c r="C69" s="71" t="inlineStr">
        <is>
          <t>Jacksonville</t>
        </is>
      </c>
      <c r="D69" s="71" t="inlineStr">
        <is>
          <t>Pantograph fold and E-Stop under load while moving</t>
        </is>
      </c>
      <c r="E69" s="71" t="inlineStr">
        <is>
          <t>Pantos, ITV, contactors</t>
        </is>
      </c>
      <c r="F69" s="71" t="inlineStr">
        <is>
          <t>Voltify</t>
        </is>
      </c>
      <c r="G69" s="71" t="inlineStr">
        <is>
          <t>Micah</t>
        </is>
      </c>
      <c r="H69" s="71" t="inlineStr">
        <is>
          <t>J-09</t>
        </is>
      </c>
      <c r="I69" s="71" t="inlineStr">
        <is>
          <t>E-Stop at 0.5 mph under 0.5 MW, then 1 MW</t>
        </is>
      </c>
      <c r="J69" s="71" t="inlineStr">
        <is>
          <t>ITV stops current before contactors open; pantos fold; no arc damage</t>
        </is>
      </c>
      <c r="K69" s="71" t="inlineStr">
        <is>
          <t>Scope, video</t>
        </is>
      </c>
      <c r="L69" s="71" t="inlineStr">
        <is>
          <t>MUST (safety)</t>
        </is>
      </c>
      <c r="M69" s="71" t="inlineStr">
        <is>
          <t>None</t>
        </is>
      </c>
      <c r="N69" s="71" t="inlineStr">
        <is>
          <t>F01, F10</t>
        </is>
      </c>
      <c r="O69" s="71" t="n"/>
      <c r="P69" s="71" t="inlineStr">
        <is>
          <t>Top step stays inside the 2.1 MW demo limit</t>
        </is>
      </c>
      <c r="Q69" s="71" t="inlineStr">
        <is>
          <t>Not started</t>
        </is>
      </c>
      <c r="R69" s="71" t="n"/>
      <c r="S69" s="71" t="n"/>
    </row>
    <row r="70" ht="34.5" customHeight="1" s="65">
      <c r="A70" s="71" t="inlineStr">
        <is>
          <t>J-11</t>
        </is>
      </c>
      <c r="B70" s="71" t="inlineStr">
        <is>
          <t>G10 Operate</t>
        </is>
      </c>
      <c r="C70" s="71" t="inlineStr">
        <is>
          <t>Jacksonville</t>
        </is>
      </c>
      <c r="D70" s="71" t="inlineStr">
        <is>
          <t>30-day CSX operation reliability log</t>
        </is>
      </c>
      <c r="E70" s="71" t="inlineStr">
        <is>
          <t>Whole loco</t>
        </is>
      </c>
      <c r="F70" s="71" t="inlineStr">
        <is>
          <t>All</t>
        </is>
      </c>
      <c r="G70" s="71" t="inlineStr">
        <is>
          <t>Production lead</t>
        </is>
      </c>
      <c r="H70" s="71" t="inlineStr">
        <is>
          <t>Showcase passes</t>
        </is>
      </c>
      <c r="I70" s="71" t="inlineStr">
        <is>
          <t>Daily checklist + fault log</t>
        </is>
      </c>
      <c r="J70" s="71" t="inlineStr">
        <is>
          <t>No open safety faults; availability tracked</t>
        </is>
      </c>
      <c r="K70" s="71" t="inlineStr">
        <is>
          <t>Logbook</t>
        </is>
      </c>
      <c r="L70" s="71" t="inlineStr">
        <is>
          <t>MUST</t>
        </is>
      </c>
      <c r="M70" s="71" t="inlineStr">
        <is>
          <t>None</t>
        </is>
      </c>
      <c r="N70" s="71" t="inlineStr">
        <is>
          <t>all</t>
        </is>
      </c>
      <c r="O70" s="71" t="n"/>
      <c r="P70" s="71" t="inlineStr">
        <is>
          <t>Target start ~Jan 20. Ramp tests J-14..J-19 run inside this window; non-gating for the showcase</t>
        </is>
      </c>
      <c r="Q70" s="71" t="inlineStr">
        <is>
          <t>Not started</t>
        </is>
      </c>
      <c r="R70" s="71" t="n"/>
      <c r="S70" s="71" t="n"/>
    </row>
    <row r="71" ht="15" customHeight="1" s="65">
      <c r="A71" s="71" t="inlineStr">
        <is>
          <t>J-12</t>
        </is>
      </c>
      <c r="B71" s="71" t="inlineStr">
        <is>
          <t>G10 Operate</t>
        </is>
      </c>
      <c r="C71" s="71" t="inlineStr">
        <is>
          <t>Jacksonville</t>
        </is>
      </c>
      <c r="D71" s="71" t="inlineStr">
        <is>
          <t>Showcase rehearsal</t>
        </is>
      </c>
      <c r="E71" s="71" t="inlineStr">
        <is>
          <t>Whole loco</t>
        </is>
      </c>
      <c r="F71" s="71" t="inlineStr">
        <is>
          <t>All</t>
        </is>
      </c>
      <c r="G71" s="71" t="inlineStr">
        <is>
          <t>Bill</t>
        </is>
      </c>
      <c r="H71" s="71" t="inlineStr">
        <is>
          <t>J-09</t>
        </is>
      </c>
      <c r="I71" s="71" t="inlineStr">
        <is>
          <t>Run the scripted demo 3 times in a row</t>
        </is>
      </c>
      <c r="J71" s="71" t="inlineStr">
        <is>
          <t>3 of 3 clean runs</t>
        </is>
      </c>
      <c r="K71" s="71" t="inlineStr">
        <is>
          <t>Full crew</t>
        </is>
      </c>
      <c r="L71" s="71" t="inlineStr">
        <is>
          <t>MUST</t>
        </is>
      </c>
      <c r="M71" s="71" t="inlineStr">
        <is>
          <t>None</t>
        </is>
      </c>
      <c r="N71" s="71" t="inlineStr">
        <is>
          <t>all</t>
        </is>
      </c>
      <c r="O71" s="71" t="n"/>
      <c r="P71" s="71" t="n"/>
      <c r="Q71" s="71" t="inlineStr">
        <is>
          <t>Not started</t>
        </is>
      </c>
      <c r="R71" s="71" t="n"/>
      <c r="S71" s="71" t="n"/>
    </row>
    <row r="72" ht="34.5" customHeight="1" s="65">
      <c r="A72" s="72" t="inlineStr">
        <is>
          <t>J-14</t>
        </is>
      </c>
      <c r="B72" s="72" t="inlineStr">
        <is>
          <t>G10 Operate + performance ramp</t>
        </is>
      </c>
      <c r="C72" s="72" t="inlineStr">
        <is>
          <t>Jacksonville</t>
        </is>
      </c>
      <c r="D72" s="72" t="inlineStr">
        <is>
          <t>TREND: notch ramp, light engine</t>
        </is>
      </c>
      <c r="E72" s="72" t="inlineStr">
        <is>
          <t>Drivetrain, battery, aux</t>
        </is>
      </c>
      <c r="F72" s="72" t="inlineStr">
        <is>
          <t>Voltify + Integral</t>
        </is>
      </c>
      <c r="G72" s="72" t="inlineStr">
        <is>
          <t>Bill (test director) + Integral</t>
        </is>
      </c>
      <c r="H72" s="72" t="inlineStr">
        <is>
          <t>J-02B</t>
        </is>
      </c>
      <c r="I72" s="72" t="inlineStr">
        <is>
          <t>Light engine (LC-0). Notch 1 -&gt; 8, 30 s to 2 min per notch, both directions; log battery V/I/P, motor currents, speed, acceleration</t>
        </is>
      </c>
      <c r="J72" s="72" t="inlineStr">
        <is>
          <t>Data captured every notch; no Class A; battery current &lt;= 1,884 A at Notch 8; power per notch compared with 40 CFR 1033.530 Table 3 profile</t>
        </is>
      </c>
      <c r="K72" s="72" t="inlineStr">
        <is>
          <t>Track (~1 mi), DAQ</t>
        </is>
      </c>
      <c r="L72" s="72" t="inlineStr">
        <is>
          <t>TREND (non-gating)</t>
        </is>
      </c>
      <c r="M72" s="72" t="inlineStr">
        <is>
          <t>None</t>
        </is>
      </c>
      <c r="N72" s="72" t="inlineStr">
        <is>
          <t>F22, F49</t>
        </is>
      </c>
      <c r="O72" s="72" t="n"/>
      <c r="P72" s="72" t="inlineStr">
        <is>
          <t>Establishes the power-vs-notch map</t>
        </is>
      </c>
      <c r="Q72" s="72" t="inlineStr">
        <is>
          <t>Not started</t>
        </is>
      </c>
      <c r="R72" s="72" t="n"/>
      <c r="S72" s="72" t="n"/>
    </row>
    <row r="73" ht="34.5" customHeight="1" s="65">
      <c r="A73" s="72" t="inlineStr">
        <is>
          <t>J-15</t>
        </is>
      </c>
      <c r="B73" s="72" t="inlineStr">
        <is>
          <t>G10 Operate + performance ramp</t>
        </is>
      </c>
      <c r="C73" s="72" t="inlineStr">
        <is>
          <t>Jacksonville</t>
        </is>
      </c>
      <c r="D73" s="72" t="inlineStr">
        <is>
          <t>TREND: trailing-load step ramp</t>
        </is>
      </c>
      <c r="E73" s="72" t="inlineStr">
        <is>
          <t>Drivetrain, battery, slip control, brakes</t>
        </is>
      </c>
      <c r="F73" s="72" t="inlineStr">
        <is>
          <t>Voltify + Integral</t>
        </is>
      </c>
      <c r="G73" s="72" t="inlineStr">
        <is>
          <t>Bill + Integral</t>
        </is>
      </c>
      <c r="H73" s="72" t="inlineStr">
        <is>
          <t>J-14; CSX cuts of cars</t>
        </is>
      </c>
      <c r="I73" s="72" t="inlineStr">
        <is>
          <t>Pull LC-1, then LC-2, then LC-3 (Load Cases tab): start, accelerate to 10 mph, stop. Repeat 3x each</t>
        </is>
      </c>
      <c r="J73" s="72" t="inlineStr">
        <is>
          <t>Time to 10 mph and peak tractive effort per load case logged; slip control active; no Class A; TE vs motor current fits the D77 curve</t>
        </is>
      </c>
      <c r="K73" s="72" t="inlineStr">
        <is>
          <t>CSX cuts of cars, track &gt;= 1 mi, optional drawbar load cell</t>
        </is>
      </c>
      <c r="L73" s="72" t="inlineStr">
        <is>
          <t>TREND (non-gating)</t>
        </is>
      </c>
      <c r="M73" s="72" t="inlineStr">
        <is>
          <t>None</t>
        </is>
      </c>
      <c r="N73" s="72" t="inlineStr">
        <is>
          <t>F23, F50</t>
        </is>
      </c>
      <c r="O73" s="72" t="n"/>
      <c r="P73" s="72" t="inlineStr">
        <is>
          <t>Switcher acceleration is the key yard metric</t>
        </is>
      </c>
      <c r="Q73" s="72" t="inlineStr">
        <is>
          <t>Not started</t>
        </is>
      </c>
      <c r="R73" s="72" t="n"/>
      <c r="S73" s="72" t="n"/>
    </row>
    <row r="74" ht="57" customHeight="1" s="65">
      <c r="A74" s="72" t="inlineStr">
        <is>
          <t>J-16</t>
        </is>
      </c>
      <c r="B74" s="72" t="inlineStr">
        <is>
          <t>G10 Operate + performance ramp</t>
        </is>
      </c>
      <c r="C74" s="72" t="inlineStr">
        <is>
          <t>Jacksonville</t>
        </is>
      </c>
      <c r="D74" s="72" t="inlineStr">
        <is>
          <t>TREND: continuous pull at 10 mph</t>
        </is>
      </c>
      <c r="E74" s="72" t="inlineStr">
        <is>
          <t>D77 motors, choppers, blowers, PE loop, battery</t>
        </is>
      </c>
      <c r="F74" s="72" t="inlineStr">
        <is>
          <t>Voltify + Integral</t>
        </is>
      </c>
      <c r="G74" s="72" t="inlineStr">
        <is>
          <t>Bill + VJ</t>
        </is>
      </c>
      <c r="H74" s="72" t="inlineStr">
        <is>
          <t>J-15</t>
        </is>
      </c>
      <c r="I74" s="72" t="inlineStr">
        <is>
          <t>Hold 10 mph against the heaviest available load: 50% -&gt; 75% -&gt; 100% of 54,700 lbf (estimated), holds of 15 -&gt; 30 -&gt; 60 min; log all temperatures; fit a first-order thermal model and project steady state</t>
        </is>
      </c>
      <c r="J74" s="72" t="inlineStr">
        <is>
          <t>Projected steady-state temperatures below supplier limits at the highest step reached; report % of GP40 continuous TE achieved</t>
        </is>
      </c>
      <c r="K74" s="72" t="inlineStr">
        <is>
          <t>Heaviest CSX cut (LC-3), long track or loop, thermocouple DAQ</t>
        </is>
      </c>
      <c r="L74" s="72" t="inlineStr">
        <is>
          <t>TREND (non-gating)</t>
        </is>
      </c>
      <c r="M74" s="72" t="inlineStr">
        <is>
          <t>None</t>
        </is>
      </c>
      <c r="N74" s="72" t="inlineStr">
        <is>
          <t>F50, F20, F30</t>
        </is>
      </c>
      <c r="O74" s="72" t="n"/>
      <c r="P74" s="72" t="inlineStr">
        <is>
          <t>Ramp matrix on Load Cases tab</t>
        </is>
      </c>
      <c r="Q74" s="72" t="inlineStr">
        <is>
          <t>Not started</t>
        </is>
      </c>
      <c r="R74" s="72" t="n"/>
      <c r="S74" s="72" t="n"/>
    </row>
    <row r="75" ht="45.75" customHeight="1" s="65">
      <c r="A75" s="72" t="inlineStr">
        <is>
          <t>J-17</t>
        </is>
      </c>
      <c r="B75" s="72" t="inlineStr">
        <is>
          <t>G10 Operate + performance ramp</t>
        </is>
      </c>
      <c r="C75" s="72" t="inlineStr">
        <is>
          <t>Jacksonville</t>
        </is>
      </c>
      <c r="D75" s="72" t="inlineStr">
        <is>
          <t>TREND: Notch 8 duration</t>
        </is>
      </c>
      <c r="E75" s="72" t="inlineStr">
        <is>
          <t>Battery, choppers, motors, cooling</t>
        </is>
      </c>
      <c r="F75" s="72" t="inlineStr">
        <is>
          <t>Voltify + Integral</t>
        </is>
      </c>
      <c r="G75" s="72" t="inlineStr">
        <is>
          <t>Bill + Micah</t>
        </is>
      </c>
      <c r="H75" s="72" t="inlineStr">
        <is>
          <t>J-14, J-16 thermal model</t>
        </is>
      </c>
      <c r="I75" s="72" t="inlineStr">
        <is>
          <t>Notch 8 with enough trailing load to stay inside track and speed limits: holds of 1 -&gt; 5 -&gt; 10 -&gt; 15 min, cool-down between; log SOC drop per minute and temperatures; project to 15 min</t>
        </is>
      </c>
      <c r="J75" s="72" t="inlineStr">
        <is>
          <t>15-min projection inside limits, or the limiting component and the time to limit documented</t>
        </is>
      </c>
      <c r="K75" s="72" t="inlineStr">
        <is>
          <t>Heavy cut, long track, DAQ</t>
        </is>
      </c>
      <c r="L75" s="72" t="inlineStr">
        <is>
          <t>TREND (non-gating)</t>
        </is>
      </c>
      <c r="M75" s="72" t="inlineStr">
        <is>
          <t>None</t>
        </is>
      </c>
      <c r="N75" s="72" t="inlineStr">
        <is>
          <t>F49, F07</t>
        </is>
      </c>
      <c r="O75" s="72" t="n"/>
      <c r="P75" s="72" t="inlineStr">
        <is>
          <t>15 min at ~2.5 MW uses ~0.63 MWh (~16% of usable) | v1.2: Rev C: on LC-3/0.5% Notch 8 balances at ~20 mph (2.144 MW) or ~14 mph (500 hp cap); motors at the D77 15-min rating. Choose load and speed so the hold is power-limited and inside track limits</t>
        </is>
      </c>
      <c r="Q75" s="72" t="inlineStr">
        <is>
          <t>Not started</t>
        </is>
      </c>
      <c r="R75" s="72" t="n"/>
      <c r="S75" s="72" t="n"/>
    </row>
    <row r="76" ht="57" customHeight="1" s="65">
      <c r="A76" s="72" t="inlineStr">
        <is>
          <t>J-18</t>
        </is>
      </c>
      <c r="B76" s="72" t="inlineStr">
        <is>
          <t>G10 Operate + performance ramp</t>
        </is>
      </c>
      <c r="C76" s="72" t="inlineStr">
        <is>
          <t>Jacksonville</t>
        </is>
      </c>
      <c r="D76" s="72" t="inlineStr">
        <is>
          <t>Energy use over a representative switching shift</t>
        </is>
      </c>
      <c r="E76" s="72" t="inlineStr">
        <is>
          <t>Whole loco</t>
        </is>
      </c>
      <c r="F76" s="72" t="inlineStr">
        <is>
          <t>Voltify</t>
        </is>
      </c>
      <c r="G76" s="72" t="inlineStr">
        <is>
          <t>Bill / Jared</t>
        </is>
      </c>
      <c r="H76" s="72" t="inlineStr">
        <is>
          <t>H-32, J-15</t>
        </is>
      </c>
      <c r="I76" s="72" t="inlineStr">
        <is>
          <t>Run a 4-8 h switching shift: EPA switch cycle as the default script, Moncrief moves when available; record kWh/h, kWh per car-move, SOC used, idle draw, contactor and precharge cycles</t>
        </is>
      </c>
      <c r="J76" s="72" t="inlineStr">
        <is>
          <t>Energy per shift known +/- 10%; cycle counts logged; range model updated</t>
        </is>
      </c>
      <c r="K76" s="72" t="inlineStr">
        <is>
          <t>DAQ, crew log of cars/tons per move</t>
        </is>
      </c>
      <c r="L76" s="72" t="inlineStr">
        <is>
          <t>SHOULD</t>
        </is>
      </c>
      <c r="M76" s="72" t="inlineStr">
        <is>
          <t>None</t>
        </is>
      </c>
      <c r="N76" s="72" t="inlineStr">
        <is>
          <t>F48, F53</t>
        </is>
      </c>
      <c r="O76" s="72" t="n"/>
      <c r="P76" s="72" t="inlineStr">
        <is>
          <t>Feeds DR-49 (range)</t>
        </is>
      </c>
      <c r="Q76" s="72" t="inlineStr">
        <is>
          <t>Not started</t>
        </is>
      </c>
      <c r="R76" s="72" t="n"/>
      <c r="S76" s="72" t="n"/>
    </row>
    <row r="77" ht="23.25" customHeight="1" s="65">
      <c r="A77" s="72" t="inlineStr">
        <is>
          <t>J-19</t>
        </is>
      </c>
      <c r="B77" s="72" t="inlineStr">
        <is>
          <t>G10 Operate + performance ramp</t>
        </is>
      </c>
      <c r="C77" s="72" t="inlineStr">
        <is>
          <t>Jacksonville</t>
        </is>
      </c>
      <c r="D77" s="72" t="inlineStr">
        <is>
          <t>Range model matches logged data</t>
        </is>
      </c>
      <c r="E77" s="72" t="inlineStr">
        <is>
          <t>Energy model (Load Cases tab), logs</t>
        </is>
      </c>
      <c r="F77" s="72" t="inlineStr">
        <is>
          <t>Voltify</t>
        </is>
      </c>
      <c r="G77" s="72" t="inlineStr">
        <is>
          <t>Bill</t>
        </is>
      </c>
      <c r="H77" s="72" t="inlineStr">
        <is>
          <t>J-18 + 30-day ops data</t>
        </is>
      </c>
      <c r="I77" s="72" t="inlineStr">
        <is>
          <t>Predict energy for held-out days from the model; compare with logged kWh</t>
        </is>
      </c>
      <c r="J77" s="72" t="inlineStr">
        <is>
          <t>Error &lt;= 10% on held-out days</t>
        </is>
      </c>
      <c r="K77" s="72" t="inlineStr">
        <is>
          <t>Logs</t>
        </is>
      </c>
      <c r="L77" s="72" t="inlineStr">
        <is>
          <t>SHOULD</t>
        </is>
      </c>
      <c r="M77" s="72" t="inlineStr">
        <is>
          <t>None</t>
        </is>
      </c>
      <c r="N77" s="72" t="inlineStr">
        <is>
          <t>F48</t>
        </is>
      </c>
      <c r="O77" s="72" t="n"/>
      <c r="P77" s="72" t="n"/>
      <c r="Q77" s="72" t="inlineStr">
        <is>
          <t>Not started</t>
        </is>
      </c>
      <c r="R77" s="72" t="n"/>
      <c r="S77" s="72" t="n"/>
    </row>
    <row r="78" ht="68.25" customHeight="1" s="65">
      <c r="A78" s="72" t="inlineStr">
        <is>
          <t>J-20</t>
        </is>
      </c>
      <c r="B78" s="72" t="inlineStr">
        <is>
          <t>G10 Operate + performance ramp</t>
        </is>
      </c>
      <c r="C78" s="72" t="inlineStr">
        <is>
          <t>Jacksonville</t>
        </is>
      </c>
      <c r="D78" s="72" t="inlineStr">
        <is>
          <t>TREND: PE and condenser loop temperatures vs ambient</t>
        </is>
      </c>
      <c r="E78" s="72" t="inlineStr">
        <is>
          <t>PE loop (choppers, ITV, inverters), condenser loop, radiators</t>
        </is>
      </c>
      <c r="F78" s="72" t="inlineStr">
        <is>
          <t>Voltify</t>
        </is>
      </c>
      <c r="G78" s="72" t="inlineStr">
        <is>
          <t>VJ</t>
        </is>
      </c>
      <c r="H78" s="72" t="inlineStr">
        <is>
          <t>H-32 logging live</t>
        </is>
      </c>
      <c r="I78" s="72" t="inlineStr">
        <is>
          <t>Log PE supply, charger/inverter/chopper outlet and condenser loop temperatures, PE and condenser fan status (speed/current) with ambient during J-06..J-09 and J-16/J-17; fit rise over ambient per load; project to the design ambient</t>
        </is>
      </c>
      <c r="J78" s="72" t="inlineStr">
        <is>
          <t>Projected charger supply &lt;= 55 C, inverter &lt;= 60 C, chopper &lt;= 63 C, condenser loop &lt;= 65 C at the design ambient (DR-52)</t>
        </is>
      </c>
      <c r="K78" s="72" t="inlineStr">
        <is>
          <t>Thermocouples / logged coolant temps, ambient sensor</t>
        </is>
      </c>
      <c r="L78" s="72" t="inlineStr">
        <is>
          <t>TREND (non-gating)</t>
        </is>
      </c>
      <c r="M78" s="72" t="inlineStr">
        <is>
          <t>None</t>
        </is>
      </c>
      <c r="N78" s="72" t="inlineStr">
        <is>
          <t>F54, F55</t>
        </is>
      </c>
      <c r="O78" s="72" t="n"/>
      <c r="P78" s="72" t="inlineStr">
        <is>
          <t>Sweep predicts limits reached at ~46-50 C ambient; Phase 3: PE fan loss at ~34 C exceeds chopper/inverter limits within minutes</t>
        </is>
      </c>
      <c r="Q78" s="72" t="inlineStr">
        <is>
          <t>Not started</t>
        </is>
      </c>
      <c r="R78" s="72" t="n"/>
      <c r="S78" s="72" t="n"/>
    </row>
    <row r="79" ht="45.75" customHeight="1" s="65">
      <c r="A79" s="72" t="inlineStr">
        <is>
          <t>J-21</t>
        </is>
      </c>
      <c r="B79" s="72" t="inlineStr">
        <is>
          <t>G10 Operate + performance ramp</t>
        </is>
      </c>
      <c r="C79" s="72" t="inlineStr">
        <is>
          <t>Jacksonville</t>
        </is>
      </c>
      <c r="D79" s="72" t="inlineStr">
        <is>
          <t>TREND: preconditioning time and energy after an overnight soak</t>
        </is>
      </c>
      <c r="E79" s="72" t="inlineStr">
        <is>
          <t>BTMS (Maxwell MTMs, heaters), BMS thermal control</t>
        </is>
      </c>
      <c r="F79" s="72" t="inlineStr">
        <is>
          <t>Voltify</t>
        </is>
      </c>
      <c r="G79" s="72" t="inlineStr">
        <is>
          <t>Micah + Jack</t>
        </is>
      </c>
      <c r="H79" s="72" t="inlineStr">
        <is>
          <t>H-32 logging live</t>
        </is>
      </c>
      <c r="I79" s="72" t="inlineStr">
        <is>
          <t>On a cool and a warm morning, start from soaked pack; run TMS until cells are inside 15-35 C; log time and TMS kWh; compare with model scenario S8</t>
        </is>
      </c>
      <c r="J79" s="72" t="inlineStr">
        <is>
          <t>Measured time/energy within 25% of model; preconditioning procedure written</t>
        </is>
      </c>
      <c r="K79" s="72" t="inlineStr">
        <is>
          <t>Logging, wayside or battery power</t>
        </is>
      </c>
      <c r="L79" s="72" t="inlineStr">
        <is>
          <t>TREND (non-gating)</t>
        </is>
      </c>
      <c r="M79" s="72" t="inlineStr">
        <is>
          <t>None</t>
        </is>
      </c>
      <c r="N79" s="72" t="inlineStr">
        <is>
          <t>F56, F57, F58</t>
        </is>
      </c>
      <c r="O79" s="72" t="n"/>
      <c r="P79" s="72" t="inlineStr">
        <is>
          <t>Model: 0 C -&gt; 5 C in ~1.9 h; 50 C -&gt; 45 C in ~1.2 h</t>
        </is>
      </c>
      <c r="Q79" s="72" t="inlineStr">
        <is>
          <t>Not started</t>
        </is>
      </c>
      <c r="R79" s="72" t="n"/>
      <c r="S79" s="72" t="n"/>
    </row>
    <row r="80" ht="23.25" customHeight="1" s="65">
      <c r="A80" s="71" t="inlineStr">
        <is>
          <t>J-13</t>
        </is>
      </c>
      <c r="B80" s="71" t="inlineStr">
        <is>
          <t>P1 Post-demo (CSX 90-day)</t>
        </is>
      </c>
      <c r="C80" s="71" t="inlineStr">
        <is>
          <t>Jacksonville</t>
        </is>
      </c>
      <c r="D80" s="71" t="inlineStr">
        <is>
          <t>Manual MCS charging (deprioritized for showcase)</t>
        </is>
      </c>
      <c r="E80" s="71" t="inlineStr">
        <is>
          <t>MCS controllers, inlets, contactors</t>
        </is>
      </c>
      <c r="F80" s="71" t="inlineStr">
        <is>
          <t>Voltify</t>
        </is>
      </c>
      <c r="G80" s="71" t="inlineStr">
        <is>
          <t>Jared / Marwan</t>
        </is>
      </c>
      <c r="H80" s="71" t="inlineStr">
        <is>
          <t>After showcase</t>
        </is>
      </c>
      <c r="I80" s="71" t="inlineStr">
        <is>
          <t>Per MCS controller spec sequence</t>
        </is>
      </c>
      <c r="J80" s="71" t="inlineStr">
        <is>
          <t>Per IEC 61851-23-3 sequence</t>
        </is>
      </c>
      <c r="K80" s="71" t="inlineStr">
        <is>
          <t>MCS charger</t>
        </is>
      </c>
      <c r="L80" s="71" t="inlineStr">
        <is>
          <t>POST-DEMO</t>
        </is>
      </c>
      <c r="M80" s="71" t="inlineStr">
        <is>
          <t>None</t>
        </is>
      </c>
      <c r="N80" s="71" t="inlineStr">
        <is>
          <t>F36</t>
        </is>
      </c>
      <c r="O80" s="71" t="inlineStr">
        <is>
          <t>MCS not developed</t>
        </is>
      </c>
      <c r="P80" s="71" t="inlineStr">
        <is>
          <t>Dragan: not needed for first month</t>
        </is>
      </c>
      <c r="Q80" s="71" t="inlineStr">
        <is>
          <t>Not started</t>
        </is>
      </c>
      <c r="R80" s="71" t="n"/>
      <c r="S80" s="71" t="n"/>
    </row>
    <row r="81" ht="23.25" customHeight="1" s="65">
      <c r="A81" s="72" t="inlineStr">
        <is>
          <t>P-01</t>
        </is>
      </c>
      <c r="B81" s="72" t="inlineStr">
        <is>
          <t>P1 Post-demo (CSX 90-day)</t>
        </is>
      </c>
      <c r="C81" s="72" t="inlineStr">
        <is>
          <t>Jacksonville / CSX</t>
        </is>
      </c>
      <c r="D81" s="72" t="inlineStr">
        <is>
          <t>Notch 8 held for 15 minutes</t>
        </is>
      </c>
      <c r="E81" s="72" t="inlineStr">
        <is>
          <t>Whole loco</t>
        </is>
      </c>
      <c r="F81" s="72" t="inlineStr">
        <is>
          <t>All</t>
        </is>
      </c>
      <c r="G81" s="72" t="inlineStr">
        <is>
          <t>Bill + Integral</t>
        </is>
      </c>
      <c r="H81" s="72" t="inlineStr">
        <is>
          <t>J-17 trend acceptable</t>
        </is>
      </c>
      <c r="I81" s="72" t="inlineStr">
        <is>
          <t>Notch 8 for 15 min under representative load</t>
        </is>
      </c>
      <c r="J81" s="72" t="inlineStr">
        <is>
          <t>15 min at full rated traction power without derate; temperatures within limits</t>
        </is>
      </c>
      <c r="K81" s="72" t="inlineStr">
        <is>
          <t>CSX train or heavy cut</t>
        </is>
      </c>
      <c r="L81" s="72" t="inlineStr">
        <is>
          <t>POST-DEMO</t>
        </is>
      </c>
      <c r="M81" s="72" t="inlineStr">
        <is>
          <t>None</t>
        </is>
      </c>
      <c r="N81" s="72" t="inlineStr">
        <is>
          <t>F49</t>
        </is>
      </c>
      <c r="O81" s="72" t="n"/>
      <c r="P81" s="72" t="inlineStr">
        <is>
          <t>Dragan target; confirm wording in GP40 manual</t>
        </is>
      </c>
      <c r="Q81" s="72" t="inlineStr">
        <is>
          <t>Not started</t>
        </is>
      </c>
      <c r="R81" s="72" t="n"/>
      <c r="S81" s="72" t="n"/>
    </row>
    <row r="82" ht="34.5" customHeight="1" s="65">
      <c r="A82" s="72" t="inlineStr">
        <is>
          <t>P-02</t>
        </is>
      </c>
      <c r="B82" s="72" t="inlineStr">
        <is>
          <t>P1 Post-demo (CSX 90-day)</t>
        </is>
      </c>
      <c r="C82" s="72" t="inlineStr">
        <is>
          <t>Jacksonville / CSX</t>
        </is>
      </c>
      <c r="D82" s="72" t="inlineStr">
        <is>
          <t>Continuous pull at 10 mph sustained</t>
        </is>
      </c>
      <c r="E82" s="72" t="inlineStr">
        <is>
          <t>Whole loco</t>
        </is>
      </c>
      <c r="F82" s="72" t="inlineStr">
        <is>
          <t>All</t>
        </is>
      </c>
      <c r="G82" s="72" t="inlineStr">
        <is>
          <t>Bill + Integral</t>
        </is>
      </c>
      <c r="H82" s="72" t="inlineStr">
        <is>
          <t>J-16 trend acceptable</t>
        </is>
      </c>
      <c r="I82" s="72" t="inlineStr">
        <is>
          <t>Sustain &gt;= GP40 continuous TE at &gt;= 10 mph</t>
        </is>
      </c>
      <c r="J82" s="72" t="inlineStr">
        <is>
          <t>&gt;= 54,700 lbf (reference) at &gt;= 10 mph for duration TBD from GP40 manual (proposed &gt;= 60 min or thermal steady state)</t>
        </is>
      </c>
      <c r="K82" s="72" t="inlineStr">
        <is>
          <t>Heavy train, track</t>
        </is>
      </c>
      <c r="L82" s="72" t="inlineStr">
        <is>
          <t>POST-DEMO</t>
        </is>
      </c>
      <c r="M82" s="72" t="inlineStr">
        <is>
          <t>None</t>
        </is>
      </c>
      <c r="N82" s="72" t="inlineStr">
        <is>
          <t>F50</t>
        </is>
      </c>
      <c r="O82" s="72" t="n"/>
      <c r="P82" s="72" t="n"/>
      <c r="Q82" s="72" t="inlineStr">
        <is>
          <t>Not started</t>
        </is>
      </c>
      <c r="R82" s="72" t="n"/>
      <c r="S82" s="72" t="n"/>
    </row>
    <row r="83" ht="23.25" customHeight="1" s="65">
      <c r="A83" s="72" t="inlineStr">
        <is>
          <t>P-03</t>
        </is>
      </c>
      <c r="B83" s="72" t="inlineStr">
        <is>
          <t>P1 Post-demo (CSX 90-day)</t>
        </is>
      </c>
      <c r="C83" s="72" t="inlineStr">
        <is>
          <t>Jacksonville</t>
        </is>
      </c>
      <c r="D83" s="72" t="inlineStr">
        <is>
          <t>HSCB integration and trip test (only if HSCB is retained)</t>
        </is>
      </c>
      <c r="E83" s="72" t="inlineStr">
        <is>
          <t>HSCB A/B, REV+CB VIO</t>
        </is>
      </c>
      <c r="F83" s="72" t="inlineStr">
        <is>
          <t>Voltify</t>
        </is>
      </c>
      <c r="G83" s="72" t="inlineStr">
        <is>
          <t>Micah</t>
        </is>
      </c>
      <c r="H83" s="72" t="inlineStr">
        <is>
          <t>Decision on HSCB (RSK-NEW-16)</t>
        </is>
      </c>
      <c r="I83" s="72" t="inlineStr">
        <is>
          <t>Close/trip on command; trip on injected overcurrent signal; interlock with polarity</t>
        </is>
      </c>
      <c r="J83" s="72" t="inlineStr">
        <is>
          <t>Trips within spec; interlocks hold</t>
        </is>
      </c>
      <c r="K83" s="72" t="inlineStr">
        <is>
          <t>Scope, current injection</t>
        </is>
      </c>
      <c r="L83" s="72" t="inlineStr">
        <is>
          <t>SUPERSEDED (see J-23)</t>
        </is>
      </c>
      <c r="M83" s="72" t="inlineStr">
        <is>
          <t>None</t>
        </is>
      </c>
      <c r="N83" s="72" t="inlineStr">
        <is>
          <t>F09</t>
        </is>
      </c>
      <c r="O83" s="72" t="n"/>
      <c r="P83" s="72" t="inlineStr">
        <is>
          <t>v1.1: superseded by J-23 (HSCB retained for demo)</t>
        </is>
      </c>
      <c r="Q83" s="72" t="inlineStr">
        <is>
          <t>Not started</t>
        </is>
      </c>
      <c r="R83" s="72" t="n"/>
      <c r="S83" s="72" t="n"/>
    </row>
    <row r="84" ht="34.5" customHeight="1" s="65">
      <c r="A84" s="72" t="inlineStr">
        <is>
          <t>P-04</t>
        </is>
      </c>
      <c r="B84" s="72" t="inlineStr">
        <is>
          <t>P1 Post-demo (CSX 90-day)</t>
        </is>
      </c>
      <c r="C84" s="72" t="inlineStr">
        <is>
          <t>CSX</t>
        </is>
      </c>
      <c r="D84" s="72" t="inlineStr">
        <is>
          <t>Availability and service interruptions converge toward diesel baseline</t>
        </is>
      </c>
      <c r="E84" s="72" t="inlineStr">
        <is>
          <t>Whole loco</t>
        </is>
      </c>
      <c r="F84" s="72" t="inlineStr">
        <is>
          <t>All</t>
        </is>
      </c>
      <c r="G84" s="72" t="inlineStr">
        <is>
          <t>Production lead + Daphna</t>
        </is>
      </c>
      <c r="H84" s="72" t="inlineStr">
        <is>
          <t>CSX service start</t>
        </is>
      </c>
      <c r="I84" s="72" t="inlineStr">
        <is>
          <t>Weekly availability, fault rate by class, interruptions; compare with CSX diesel switcher baseline</t>
        </is>
      </c>
      <c r="J84" s="72" t="inlineStr">
        <is>
          <t>Trend improving each month; day-90 target agreed with CSX (TBD)</t>
        </is>
      </c>
      <c r="K84" s="72" t="inlineStr">
        <is>
          <t>Logs, CSX baseline</t>
        </is>
      </c>
      <c r="L84" s="72" t="inlineStr">
        <is>
          <t>POST-DEMO</t>
        </is>
      </c>
      <c r="M84" s="72" t="inlineStr">
        <is>
          <t>None</t>
        </is>
      </c>
      <c r="N84" s="72" t="inlineStr">
        <is>
          <t>F46, F53</t>
        </is>
      </c>
      <c r="O84" s="72" t="n"/>
      <c r="P84" s="72" t="n"/>
      <c r="Q84" s="72" t="inlineStr">
        <is>
          <t>Not started</t>
        </is>
      </c>
      <c r="R84" s="72" t="n"/>
      <c r="S84" s="72" t="n"/>
    </row>
    <row r="85" ht="23.25" customHeight="1" s="65">
      <c r="A85" s="72" t="inlineStr">
        <is>
          <t>P-05</t>
        </is>
      </c>
      <c r="B85" s="72" t="inlineStr">
        <is>
          <t>P1 Post-demo (CSX 90-day)</t>
        </is>
      </c>
      <c r="C85" s="72" t="inlineStr">
        <is>
          <t>CSX</t>
        </is>
      </c>
      <c r="D85" s="72" t="inlineStr">
        <is>
          <t>Daily switching duty met on one charge per shift-day</t>
        </is>
      </c>
      <c r="E85" s="72" t="inlineStr">
        <is>
          <t>Whole loco, charging</t>
        </is>
      </c>
      <c r="F85" s="72" t="inlineStr">
        <is>
          <t>All</t>
        </is>
      </c>
      <c r="G85" s="72" t="inlineStr">
        <is>
          <t>Bill</t>
        </is>
      </c>
      <c r="H85" s="72" t="inlineStr">
        <is>
          <t>J-18, J-19</t>
        </is>
      </c>
      <c r="I85" s="72" t="inlineStr">
        <is>
          <t>Run actual CSX duty; log tons/cars per day, energy and charge events</t>
        </is>
      </c>
      <c r="J85" s="72" t="inlineStr">
        <is>
          <t>Meets agreed daily duty (DR-47/48, TBD with CSX) without unplanned charge stops</t>
        </is>
      </c>
      <c r="K85" s="72" t="inlineStr">
        <is>
          <t>Logs</t>
        </is>
      </c>
      <c r="L85" s="72" t="inlineStr">
        <is>
          <t>POST-DEMO</t>
        </is>
      </c>
      <c r="M85" s="72" t="inlineStr">
        <is>
          <t>None</t>
        </is>
      </c>
      <c r="N85" s="72" t="inlineStr">
        <is>
          <t>F48</t>
        </is>
      </c>
      <c r="O85" s="72" t="n"/>
      <c r="P85" s="72" t="n"/>
      <c r="Q85" s="72" t="inlineStr">
        <is>
          <t>Not started</t>
        </is>
      </c>
      <c r="R85" s="72" t="n"/>
      <c r="S85" s="72" t="n"/>
    </row>
    <row r="86" ht="34.5" customHeight="1" s="65">
      <c r="A86" s="72" t="inlineStr">
        <is>
          <t>C-23</t>
        </is>
      </c>
      <c r="B86" s="72" t="inlineStr">
        <is>
          <t>G0 Bench</t>
        </is>
      </c>
      <c r="C86" s="72" t="inlineStr">
        <is>
          <t>Cerritos</t>
        </is>
      </c>
      <c r="D86" s="72" t="inlineStr">
        <is>
          <t>Native Simscape plant reproduces the Phase 3 plant in the same harness (switchable plant)</t>
        </is>
      </c>
      <c r="E86" s="72" t="inlineStr">
        <is>
          <t>loco_native (native library plant), loco_system</t>
        </is>
      </c>
      <c r="F86" s="72" t="inlineStr">
        <is>
          <t>Voltify</t>
        </is>
      </c>
      <c r="G86" s="72" t="inlineStr">
        <is>
          <t>Bill</t>
        </is>
      </c>
      <c r="H86" s="72" t="inlineStr">
        <is>
          <t>Phase 3 model built; native library component benches pass</t>
        </is>
      </c>
      <c r="I86" s="72" t="inlineStr">
        <is>
          <t>run_regression_native: S1-S8 through both plants at 25/40 C (soaked); compare verdict, Tcell, Tsup, SOC, speed and pack current</t>
        </is>
      </c>
      <c r="J86" s="72" t="inlineStr">
        <is>
          <t>Same verdict; |dTcell| &lt; 0.5 K, |dTsup| &lt; 1 K, |dSOC| &lt; 0.01, speed rms &lt; 0.1 mph</t>
        </is>
      </c>
      <c r="K86" s="72" t="inlineStr">
        <is>
          <t>MATLAB/Simscape</t>
        </is>
      </c>
      <c r="L86" s="72" t="inlineStr">
        <is>
          <t>SHOULD</t>
        </is>
      </c>
      <c r="M86" s="72" t="inlineStr">
        <is>
          <t>Full (model)</t>
        </is>
      </c>
      <c r="N86" s="72" t="inlineStr">
        <is>
          <t>F60, F65</t>
        </is>
      </c>
      <c r="O86" s="72" t="n"/>
      <c r="P86" s="72" t="inlineStr">
        <is>
          <t>11/11 pass (2026-10-09/10); Phase 3 solver min-step events at traction transitions (RSK-NEW-40)</t>
        </is>
      </c>
      <c r="Q86" s="72" t="inlineStr">
        <is>
          <t>Passed</t>
        </is>
      </c>
      <c r="R86" s="72" t="inlineStr">
        <is>
          <t>2026-10-10</t>
        </is>
      </c>
      <c r="S86" s="72" t="inlineStr">
        <is>
          <t>native/results/regression_native_vs_p3_*.csv</t>
        </is>
      </c>
    </row>
    <row r="87" ht="34.5" customHeight="1" s="65">
      <c r="A87" s="72" t="inlineStr">
        <is>
          <t>C-24</t>
        </is>
      </c>
      <c r="B87" s="72" t="inlineStr">
        <is>
          <t>G0 Bench</t>
        </is>
      </c>
      <c r="C87" s="72" t="inlineStr">
        <is>
          <t>Integral (remote)</t>
        </is>
      </c>
      <c r="D87" s="72" t="inlineStr">
        <is>
          <t>Measured chopper and charger losses replace the design-basis heat in the PE loop and system models</t>
        </is>
      </c>
      <c r="E87" s="72" t="inlineStr">
        <is>
          <t>ITC-0002 choppers, AUX-B002 charger</t>
        </is>
      </c>
      <c r="F87" s="72" t="inlineStr">
        <is>
          <t>Integral</t>
        </is>
      </c>
      <c r="G87" s="72" t="inlineStr">
        <is>
          <t>Integral + Bill</t>
        </is>
      </c>
      <c r="H87" s="72" t="inlineStr">
        <is>
          <t>Integral HV motor-lab tests (Oct 5-7); data request via Jonathan (2026-10-10)</t>
        </is>
      </c>
      <c r="I87" s="72" t="inlineStr">
        <is>
          <t>Obtain loss or efficiency vs output current (at least 425 A and 1500 A) with coolant inlet/outlet temperature and flow; update model loss curve; re-run KULI full-peak case and the fault sweep</t>
        </is>
      </c>
      <c r="J87" s="72" t="inlineStr">
        <is>
          <t>Loss data received and applied; 45 C baseline chopper fluid &lt;= 63 C, or a mitigation agreed</t>
        </is>
      </c>
      <c r="K87" s="72" t="inlineStr">
        <is>
          <t>Integral data package, MATLAB, KULI</t>
        </is>
      </c>
      <c r="L87" s="72" t="inlineStr">
        <is>
          <t>MUST</t>
        </is>
      </c>
      <c r="M87" s="72" t="inlineStr">
        <is>
          <t>None</t>
        </is>
      </c>
      <c r="N87" s="72" t="inlineStr">
        <is>
          <t>F65, F66</t>
        </is>
      </c>
      <c r="O87" s="72" t="n"/>
      <c r="P87" s="72" t="inlineStr">
        <is>
          <t>Model 1.5 kW vs KULI 4.0 kW per chopper at 425 A (RSK-NEW-38) | v1.2: 2026-10-15 Integral: stall-only dry lab test (1000 V/1000 A, ~5 min), no measured efficiency; simulated loss table at 1170 A received and applied (model Rev C). Waiting: basis per chopper/module, losses at 425/1500 A, charger losses vs power</t>
        </is>
      </c>
      <c r="Q87" s="72" t="inlineStr">
        <is>
          <t>In progress</t>
        </is>
      </c>
      <c r="R87" s="72" t="n"/>
      <c r="S87" s="72" t="n"/>
    </row>
    <row r="88" ht="34.5" customHeight="1" s="65">
      <c r="A88" s="72" t="inlineStr">
        <is>
          <t>H-35</t>
        </is>
      </c>
      <c r="B88" s="72" t="inlineStr">
        <is>
          <t>G3+ Optional extended pre-check</t>
        </is>
      </c>
      <c r="C88" s="72" t="inlineStr">
        <is>
          <t>Huntington</t>
        </is>
      </c>
      <c r="D88" s="72" t="inlineStr">
        <is>
          <t>PE loop flow balance: every device gets its minimum flow with 3 pumps and with one pump out</t>
        </is>
      </c>
      <c r="E88" s="72" t="inlineStr">
        <is>
          <t>PE loop pumps, choppers, ITV charger, inverters, DC-DC converters</t>
        </is>
      </c>
      <c r="F88" s="72" t="inlineStr">
        <is>
          <t>Voltify</t>
        </is>
      </c>
      <c r="G88" s="72" t="inlineStr">
        <is>
          <t>VJ + Dave</t>
        </is>
      </c>
      <c r="H88" s="72" t="inlineStr">
        <is>
          <t>PE loop filled and bled; IFM flow meters installed</t>
        </is>
      </c>
      <c r="I88" s="72" t="inlineStr">
        <is>
          <t>Measure total and per-branch flow and the charger loop pressure drop at 4500 rpm (3 pumps) and with one pump off (2 at 4750 rpm); compare with KULI 2026-10-09</t>
        </is>
      </c>
      <c r="J88" s="72" t="inlineStr">
        <is>
          <t>Each chopper &gt;= 20 L/min; charger &gt;= 30 L/min per passage and &gt;= 0.8 bar per loop (or Integral-confirmed values); one-pump-out flow &gt;= 95% of nominal</t>
        </is>
      </c>
      <c r="K88" s="72" t="inlineStr">
        <is>
          <t>IFM SU2631 flow meters, pressure gauges, logging</t>
        </is>
      </c>
      <c r="L88" s="72" t="inlineStr">
        <is>
          <t>SHOULD</t>
        </is>
      </c>
      <c r="M88" s="72" t="inlineStr">
        <is>
          <t>None</t>
        </is>
      </c>
      <c r="N88" s="72" t="inlineStr">
        <is>
          <t>F61, F66</t>
        </is>
      </c>
      <c r="O88" s="72" t="n"/>
      <c r="P88" s="72" t="inlineStr">
        <is>
          <t>KULI: charger 29.7 L/min per passage (28.3 with one pump out); choppers 19.6-19.7 L/min (RSK-NEW-39) | v1.2: Integral: 0.8 bar is nominal at 30 L/min, not a minimum. TMS meeting 10/14: temporary 3/4 in vane flow meters for spot checks; BTMS condenser-loop dry-break QDs cut flow 95.7 -&gt; 79.7 L/min (VJ)</t>
        </is>
      </c>
      <c r="Q88" s="72" t="inlineStr">
        <is>
          <t>Not started</t>
        </is>
      </c>
      <c r="R88" s="72" t="n"/>
      <c r="S88" s="72" t="n"/>
    </row>
    <row r="89" ht="34.5" customHeight="1" s="65">
      <c r="A89" s="72" t="inlineStr">
        <is>
          <t>J-22</t>
        </is>
      </c>
      <c r="B89" s="72" t="inlineStr">
        <is>
          <t>G8 Static charge</t>
        </is>
      </c>
      <c r="C89" s="72" t="inlineStr">
        <is>
          <t>Jacksonville</t>
        </is>
      </c>
      <c r="D89" s="72" t="inlineStr">
        <is>
          <t>Charger coolant stays inside its limit at full charge power</t>
        </is>
      </c>
      <c r="E89" s="72" t="inlineStr">
        <is>
          <t>ITV charger, PE loop, radiator</t>
        </is>
      </c>
      <c r="F89" s="72" t="inlineStr">
        <is>
          <t>Voltify + Integral</t>
        </is>
      </c>
      <c r="G89" s="72" t="inlineStr">
        <is>
          <t>VJ + Micah</t>
        </is>
      </c>
      <c r="H89" s="72" t="inlineStr">
        <is>
          <t>J-06 power ramp; Integral-confirmed limit location (RSK-NEW-39)</t>
        </is>
      </c>
      <c r="I89" s="72" t="inlineStr">
        <is>
          <t>During J-06 at the highest available ambient, log charger inlet and outlet coolant temperature and flow at full static charge power; project to the design ambient</t>
        </is>
      </c>
      <c r="J89" s="72" t="inlineStr">
        <is>
          <t>Charger coolant within the Integral-confirmed limit (55 C at the confirmed location) at full power, projected to the design ambient</t>
        </is>
      </c>
      <c r="K89" s="72" t="inlineStr">
        <is>
          <t>Logged coolant temperatures and flow, ambient sensor</t>
        </is>
      </c>
      <c r="L89" s="72" t="inlineStr">
        <is>
          <t>MUST</t>
        </is>
      </c>
      <c r="M89" s="72" t="inlineStr">
        <is>
          <t>None</t>
        </is>
      </c>
      <c r="N89" s="72" t="inlineStr">
        <is>
          <t>F66</t>
        </is>
      </c>
      <c r="O89" s="72" t="n"/>
      <c r="P89" s="72" t="inlineStr">
        <is>
          <t>KULI 40 C: 59.0 C outlet vs 55 C limit if outlet-based | v1.2: Integral confirmed 55 C applies to the inlet (2026-10-15)</t>
        </is>
      </c>
      <c r="Q89" s="72" t="inlineStr">
        <is>
          <t>Not started</t>
        </is>
      </c>
      <c r="R89" s="72" t="n"/>
      <c r="S89" s="72" t="n"/>
    </row>
    <row r="90" ht="34.5" customHeight="1" s="65">
      <c r="A90" s="72" t="inlineStr">
        <is>
          <t>J-23</t>
        </is>
      </c>
      <c r="B90" s="72" t="inlineStr">
        <is>
          <t>G7 Charging infra</t>
        </is>
      </c>
      <c r="C90" s="72" t="inlineStr">
        <is>
          <t>Jacksonville</t>
        </is>
      </c>
      <c r="D90" s="72" t="inlineStr">
        <is>
          <t>HSCB integration: close/trip on command, trip on injected overcurrent, polarity and ITV-enable interlocks</t>
        </is>
      </c>
      <c r="E90" s="72" t="inlineStr">
        <is>
          <t>HSCB A/B, REV+CB VIO, panto panel, ITV</t>
        </is>
      </c>
      <c r="F90" s="72" t="inlineStr">
        <is>
          <t>Voltify</t>
        </is>
      </c>
      <c r="G90" s="72" t="inlineStr">
        <is>
          <t>Micah</t>
        </is>
      </c>
      <c r="H90" s="72" t="inlineStr">
        <is>
          <t>J-05; Secheron trip setting coordinated with prospective battery fault current (RSK-NEW-16 condition c)</t>
        </is>
      </c>
      <c r="I90" s="72" t="inlineStr">
        <is>
          <t>Close/trip on command; secondary current injection to trip; verify trip removes ITV enable and HSCB opens on polarity disagreement</t>
        </is>
      </c>
      <c r="J90" s="72" t="inlineStr">
        <is>
          <t>Trips within Secheron spec at the coordinated set point; interlocks hold</t>
        </is>
      </c>
      <c r="K90" s="72" t="inlineStr">
        <is>
          <t>Scope, secondary current injection set, HV probes</t>
        </is>
      </c>
      <c r="L90" s="72" t="inlineStr">
        <is>
          <t>MUST</t>
        </is>
      </c>
      <c r="M90" s="72" t="inlineStr">
        <is>
          <t>Partial</t>
        </is>
      </c>
      <c r="N90" s="72" t="inlineStr">
        <is>
          <t>F09, F67</t>
        </is>
      </c>
      <c r="O90" s="72" t="n"/>
      <c r="P90" s="72" t="inlineStr">
        <is>
          <t>v1.1: replaces P-03 (HSCB retained for demo, RSK-NEW-16)</t>
        </is>
      </c>
      <c r="Q90" s="72" t="inlineStr">
        <is>
          <t>Not started</t>
        </is>
      </c>
      <c r="R90" s="72" t="n"/>
      <c r="S90" s="72" t="n"/>
    </row>
    <row r="91" ht="34.5" customHeight="1" s="65">
      <c r="A91" s="72" t="inlineStr">
        <is>
          <t>J-24</t>
        </is>
      </c>
      <c r="B91" s="72" t="inlineStr">
        <is>
          <t>G7 Charging infra</t>
        </is>
      </c>
      <c r="C91" s="72" t="inlineStr">
        <is>
          <t>Jacksonville</t>
        </is>
      </c>
      <c r="D91" s="72" t="inlineStr">
        <is>
          <t>Roof bus is dead with pantographs down</t>
        </is>
      </c>
      <c r="E91" s="72" t="inlineStr">
        <is>
          <t>Charger contactor panel, panto panel, VMS, ITV</t>
        </is>
      </c>
      <c r="F91" s="72" t="inlineStr">
        <is>
          <t>Voltify</t>
        </is>
      </c>
      <c r="G91" s="72" t="inlineStr">
        <is>
          <t>Micah</t>
        </is>
      </c>
      <c r="H91" s="72" t="inlineStr">
        <is>
          <t>H-29 Megger; HV bring-up</t>
        </is>
      </c>
      <c r="I91" s="72" t="inlineStr">
        <is>
          <t>Battery connected, pantos down: command charger contactors closed and confirm the interlock blocks it; measure roof bus voltage</t>
        </is>
      </c>
      <c r="J91" s="72" t="inlineStr">
        <is>
          <t>Charger contactors cannot close with pantos down; roof bus below 50 V</t>
        </is>
      </c>
      <c r="K91" s="72" t="inlineStr">
        <is>
          <t>HV probes, DMM</t>
        </is>
      </c>
      <c r="L91" s="72" t="inlineStr">
        <is>
          <t>MUST (safety)</t>
        </is>
      </c>
      <c r="M91" s="72" t="inlineStr">
        <is>
          <t>None</t>
        </is>
      </c>
      <c r="N91" s="72" t="inlineStr">
        <is>
          <t>F68</t>
        </is>
      </c>
      <c r="O91" s="72" t="n"/>
      <c r="P91" s="72" t="inlineStr">
        <is>
          <t>v1.1 new (RSK-NEW-43) | v1.3: Jonathan: VMS folds pantos only after the panto contactor panel opens; test both the VMS sequence and the hardware interlock</t>
        </is>
      </c>
      <c r="Q91" s="72" t="inlineStr">
        <is>
          <t>Not started</t>
        </is>
      </c>
      <c r="R91" s="72" t="n"/>
      <c r="S91" s="72" t="n"/>
    </row>
    <row r="92" ht="15" customHeight="1" s="65">
      <c r="A92" s="74" t="inlineStr">
        <is>
          <t>C-25</t>
        </is>
      </c>
      <c r="B92" s="74" t="inlineStr">
        <is>
          <t>G0 Bench</t>
        </is>
      </c>
      <c r="C92" s="74" t="inlineStr">
        <is>
          <t>Cerritos</t>
        </is>
      </c>
      <c r="D92" s="74" t="inlineStr">
        <is>
          <t>Model Rev C: D77 curve, Integral chopper loss, 42 in wheels; CSX4091 yard baseline</t>
        </is>
      </c>
      <c r="E92" s="74" t="inlineStr">
        <is>
          <t>loco_system (+locosys axle, params, report)</t>
        </is>
      </c>
      <c r="F92" s="74" t="inlineStr">
        <is>
          <t>Voltify</t>
        </is>
      </c>
      <c r="G92" s="74" t="inlineStr">
        <is>
          <t>Bill</t>
        </is>
      </c>
      <c r="H92" s="74" t="inlineStr">
        <is>
          <t>D77-D78.pdf; Integral loss table (2026-10-15); CSX4091 trace</t>
        </is>
      </c>
      <c r="I92" s="74" t="inlineStr">
        <is>
          <t>run_regression_phase2 (phase2 baseline unchanged); run_csx4091_baseline on Rev C and legacy settings</t>
        </is>
      </c>
      <c r="J92" s="74" t="inlineStr">
        <is>
          <t>Phase 2 regression physics deltas &lt; 0.01 K and &lt; 0.001 SOC; CSX4091 energy balance closes within 2%; verdict recorded</t>
        </is>
      </c>
      <c r="K92" s="74" t="inlineStr">
        <is>
          <t>MATLAB/Simscape</t>
        </is>
      </c>
      <c r="L92" s="74" t="inlineStr">
        <is>
          <t>SHOULD</t>
        </is>
      </c>
      <c r="M92" s="74" t="inlineStr">
        <is>
          <t>Full (model)</t>
        </is>
      </c>
      <c r="N92" s="74" t="inlineStr">
        <is>
          <t>F49, F65</t>
        </is>
      </c>
      <c r="O92" s="74" t="n"/>
      <c r="P92" s="74" t="inlineStr">
        <is>
          <t>73/80 regression (7 = S6 report-label bug, fixed); CSX4091: 812 kWh out, OPTIMAL; legacy 841 kWh</t>
        </is>
      </c>
      <c r="Q92" s="74" t="inlineStr">
        <is>
          <t>Passed</t>
        </is>
      </c>
      <c r="R92" s="74" t="inlineStr">
        <is>
          <t>2026-10-16</t>
        </is>
      </c>
      <c r="S92" s="74" t="inlineStr">
        <is>
          <t>results_csx4091_20261016_0823.mat</t>
        </is>
      </c>
    </row>
    <row r="93" ht="15" customHeight="1" s="65">
      <c r="A93" s="74" t="inlineStr">
        <is>
          <t>C-26</t>
        </is>
      </c>
      <c r="B93" s="74" t="inlineStr">
        <is>
          <t>G0 Bench</t>
        </is>
      </c>
      <c r="C93" s="74" t="inlineStr">
        <is>
          <t>Cerritos</t>
        </is>
      </c>
      <c r="D93" s="74" t="inlineStr">
        <is>
          <t>Model Rev D: clean numerics and drivetrain loss decomposition</t>
        </is>
      </c>
      <c r="E93" s="74" t="inlineStr">
        <is>
          <t>loco_system (+locosys), decompose_csx4091</t>
        </is>
      </c>
      <c r="F93" s="74" t="inlineStr">
        <is>
          <t>Voltify</t>
        </is>
      </c>
      <c r="G93" s="74" t="inlineStr">
        <is>
          <t>Bill</t>
        </is>
      </c>
      <c r="H93" s="74" t="inlineStr">
        <is>
          <t>C-25</t>
        </is>
      </c>
      <c r="I93" s="74" t="inlineStr">
        <is>
          <t>Smooth friction-brake / TE-sign / precharge switching; test zero-crossing on; decompose CSX4091 energy into battery, chopper, motor, gear, brake, TMS and aux; I^2t check vs D77 ratings</t>
        </is>
      </c>
      <c r="J93" s="74" t="inlineStr">
        <is>
          <t>Solver warnings &lt; 100 per 25 h run; decomposition closes within 2%; native plant agrees within C-23 limits</t>
        </is>
      </c>
      <c r="K93" s="74" t="inlineStr">
        <is>
          <t>MATLAB/Simscape</t>
        </is>
      </c>
      <c r="L93" s="74" t="inlineStr">
        <is>
          <t>SHOULD</t>
        </is>
      </c>
      <c r="M93" s="74" t="inlineStr">
        <is>
          <t>Full (model)</t>
        </is>
      </c>
      <c r="N93" s="74" t="inlineStr">
        <is>
          <t>F49, F50, F65</t>
        </is>
      </c>
      <c r="O93" s="74" t="n"/>
      <c r="P93" s="74" t="inlineStr">
        <is>
          <t>RSK-NEW-40, -48, -50 | v1.4: decomposition done (decompose_csx4091.m, 0823 Rev C run): closes exactly (residual 0.0 kWh, Ah vs SOC 0.00%); yard chopper 97.7%, motor 77.4%, gear 97.0% while motoring; battery-to-wheel 45.4% day. Open: smooth switching numerics, solver-warning count, I^2t vs D77 ratings, native-plant comparison</t>
        </is>
      </c>
      <c r="Q93" s="74" t="inlineStr">
        <is>
          <t>In progress</t>
        </is>
      </c>
      <c r="R93" s="74" t="n"/>
      <c r="S93" s="74" t="inlineStr">
        <is>
          <t>results/decompose_csx4091_20261016_0823.csv</t>
        </is>
      </c>
    </row>
    <row r="94" ht="15" customHeight="1" s="65">
      <c r="A94" s="74" t="inlineStr">
        <is>
          <t>J-25</t>
        </is>
      </c>
      <c r="B94" s="74" t="inlineStr">
        <is>
          <t>G7 Charging infra</t>
        </is>
      </c>
      <c r="C94" s="74" t="inlineStr">
        <is>
          <t>Jacksonville</t>
        </is>
      </c>
      <c r="D94" s="74" t="inlineStr">
        <is>
          <t>Demo charge limit is enforced on both sides: wayside and locomotive</t>
        </is>
      </c>
      <c r="E94" s="74" t="inlineStr">
        <is>
          <t>DPS100 x2, ground ESS, VMS charge request, ITV</t>
        </is>
      </c>
      <c r="F94" s="74" t="inlineStr">
        <is>
          <t>Voltify site team + Voltify</t>
        </is>
      </c>
      <c r="G94" s="74" t="inlineStr">
        <is>
          <t>Oren / Matan + Micah</t>
        </is>
      </c>
      <c r="H94" s="74" t="inlineStr">
        <is>
          <t>J-03, J-07</t>
        </is>
      </c>
      <c r="I94" s="74" t="inlineStr">
        <is>
          <t>Set and read back DPS100 limits (833 A each) and ESS 0.5C limit; command the VMS/ITV request above 2.1 MW and confirm it is capped; log wire V/I</t>
        </is>
      </c>
      <c r="J94" s="74" t="inlineStr">
        <is>
          <t>Wire current never above 1,666 A; wire power never above 2.1 MW; VMS request capped at 2.1 MW; ESS stays inside 0.5C</t>
        </is>
      </c>
      <c r="K94" s="74" t="inlineStr">
        <is>
          <t>Wayside meter, DAQ, CAN logs</t>
        </is>
      </c>
      <c r="L94" s="74" t="inlineStr">
        <is>
          <t>MUST</t>
        </is>
      </c>
      <c r="M94" s="74" t="inlineStr">
        <is>
          <t>None</t>
        </is>
      </c>
      <c r="N94" s="74" t="inlineStr">
        <is>
          <t>F06</t>
        </is>
      </c>
      <c r="O94" s="74" t="n"/>
      <c r="P94" s="74" t="inlineStr">
        <is>
          <t>DR-17 (Jonathan 2026-10-12)</t>
        </is>
      </c>
      <c r="Q94" s="74" t="inlineStr">
        <is>
          <t>Not started</t>
        </is>
      </c>
      <c r="R94" s="74" t="n"/>
      <c r="S94" s="74" t="n"/>
    </row>
    <row r="95" ht="15" customHeight="1" s="65">
      <c r="A95" s="74" t="inlineStr">
        <is>
          <t>C-27</t>
        </is>
      </c>
      <c r="B95" s="74" t="inlineStr">
        <is>
          <t>G0 Bench</t>
        </is>
      </c>
      <c r="C95" s="74" t="inlineStr">
        <is>
          <t>Cerritos</t>
        </is>
      </c>
      <c r="D95" s="74" t="inlineStr">
        <is>
          <t>Model: Showcase 2 at the demo limit (2.1 MW) stays inside charger, PE and cell limits</t>
        </is>
      </c>
      <c r="E95" s="74" t="inlineStr">
        <is>
          <t>loco_system (S9 trace)</t>
        </is>
      </c>
      <c r="F95" s="74" t="inlineStr">
        <is>
          <t>Voltify</t>
        </is>
      </c>
      <c r="G95" s="74" t="inlineStr">
        <is>
          <t>Bill</t>
        </is>
      </c>
      <c r="H95" s="74" t="inlineStr">
        <is>
          <t>C-25; traces/S9_dyncharge_2p1MW_demo.csv</t>
        </is>
      </c>
      <c r="I95" s="74" t="inlineStr">
        <is>
          <t>run_loco_system S9 from 20% SOC at 25/40/45 C (precond and soaked); compare with S3 (2.5 MW) and S4 (3 MW) bounding cases</t>
        </is>
      </c>
      <c r="J95" s="74" t="inlineStr">
        <is>
          <t>Verdict OK or better at the design ambient; charger inlet margin reported; time 20-&gt;95% SOC reported</t>
        </is>
      </c>
      <c r="K95" s="74" t="inlineStr">
        <is>
          <t>MATLAB/Simscape</t>
        </is>
      </c>
      <c r="L95" s="74" t="inlineStr">
        <is>
          <t>SHOULD</t>
        </is>
      </c>
      <c r="M95" s="74" t="inlineStr">
        <is>
          <t>Full (model)</t>
        </is>
      </c>
      <c r="N95" s="74" t="inlineStr">
        <is>
          <t>F06, F54, F66</t>
        </is>
      </c>
      <c r="O95" s="74" t="n"/>
      <c r="P95" s="74" t="inlineStr">
        <is>
          <t>RSK-NEW-22, -39</t>
        </is>
      </c>
      <c r="Q95" s="74" t="inlineStr">
        <is>
          <t>Not started</t>
        </is>
      </c>
      <c r="R95" s="74" t="n"/>
      <c r="S95" s="74" t="n"/>
    </row>
    <row r="96" ht="15" customHeight="1" s="65"/>
    <row r="97" ht="15" customHeight="1" s="65">
      <c r="A97" s="75" t="inlineStr">
        <is>
          <t>Summary</t>
        </is>
      </c>
    </row>
    <row r="98" ht="15" customHeight="1" s="65">
      <c r="A98" s="73" t="inlineStr">
        <is>
          <t>Total tests</t>
        </is>
      </c>
      <c r="D98" s="73">
        <f>COUNTA(A2:A95)</f>
        <v/>
      </c>
    </row>
    <row r="99" ht="15" customHeight="1" s="65">
      <c r="A99" s="73" t="inlineStr">
        <is>
          <t>MUST tests</t>
        </is>
      </c>
      <c r="D99" s="73">
        <f>COUNTIF(L2:L95,"MUST*")</f>
        <v/>
      </c>
    </row>
    <row r="100" ht="15" customHeight="1" s="65">
      <c r="A100" s="73" t="inlineStr">
        <is>
          <t>Huntington exit tests</t>
        </is>
      </c>
      <c r="D100" s="73">
        <f>COUNTIF(L2:L95,"*Huntington exit*")</f>
        <v/>
      </c>
    </row>
    <row r="101" ht="15" customHeight="1" s="65">
      <c r="A101" s="73" t="inlineStr">
        <is>
          <t>TREND tests (JAX ramp)</t>
        </is>
      </c>
      <c r="D101" s="73">
        <f>COUNTIF(L2:L95,"TREND*")</f>
        <v/>
      </c>
    </row>
    <row r="102">
      <c r="A102" s="73" t="inlineStr">
        <is>
          <t>Post-demo tests</t>
        </is>
      </c>
      <c r="D102" s="73">
        <f>COUNTIF(L2:L95,"POST-DEMO")</f>
        <v/>
      </c>
    </row>
    <row r="103">
      <c r="A103" s="73" t="inlineStr">
        <is>
          <t>Passed</t>
        </is>
      </c>
      <c r="D103" s="73">
        <f>COUNTIF(Q2:Q95,"Passed")</f>
        <v/>
      </c>
    </row>
    <row r="104">
      <c r="A104" s="73" t="inlineStr">
        <is>
          <t>Blocked/Failed</t>
        </is>
      </c>
      <c r="D104" s="73">
        <f>COUNTIF(Q2:Q95,"Blocked")+COUNTIF(Q2:Q95,"Failed")</f>
        <v/>
      </c>
    </row>
    <row r="105">
      <c r="A105" s="73" t="inlineStr">
        <is>
          <t>First proven on loco (no Cerritos coverage)</t>
        </is>
      </c>
      <c r="D105" s="73">
        <f>COUNTIF(M2:M95,"None")</f>
        <v/>
      </c>
    </row>
  </sheetData>
  <autoFilter ref="A1:S91"/>
  <conditionalFormatting sqref="Q2:Q95">
    <cfRule type="cellIs" rank="0" priority="2" equalAverage="0" operator="equal" aboveAverage="0" dxfId="9" text="" percent="0" bottom="0">
      <formula>"Passed"</formula>
    </cfRule>
    <cfRule type="cellIs" rank="0" priority="3" equalAverage="0" operator="equal" aboveAverage="0" dxfId="8" text="" percent="0" bottom="0">
      <formula>"Failed"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7" text="" percent="0" bottom="0">
      <formula>"In progress"</formula>
    </cfRule>
  </conditionalFormatting>
  <dataValidations count="1">
    <dataValidation sqref="Q2:Q95" showDropDown="0" showInputMessage="0" showErrorMessage="0" allowBlank="1" type="list" errorStyle="stop" operator="between">
      <formula1>"Not started,Ready,In progress,Passed,Failed,Blocked,Deferred"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64" min="1" max="1"/>
    <col width="20" customWidth="1" style="64" min="2" max="2"/>
    <col width="22" customWidth="1" style="64" min="3" max="3"/>
    <col width="26" customWidth="1" style="64" min="4" max="4"/>
    <col width="28" customWidth="1" style="64" min="5" max="5"/>
    <col width="5" customWidth="1" style="64" min="6" max="6"/>
    <col width="30" customWidth="1" style="64" min="7" max="7"/>
    <col width="5" customWidth="1" style="64" min="8" max="8"/>
    <col width="26" customWidth="1" style="64" min="9" max="9"/>
    <col width="5" customWidth="1" style="64" min="10" max="10"/>
    <col width="7" customWidth="1" style="64" min="11" max="11"/>
    <col width="6" customWidth="1" style="64" min="12" max="12"/>
    <col width="34" customWidth="1" style="64" min="13" max="13"/>
    <col width="16" customWidth="1" style="64" min="14" max="14"/>
    <col width="14" customWidth="1" style="64" min="15" max="15"/>
    <col width="40" customWidth="1" style="64" min="16" max="16"/>
    <col width="11" customWidth="1" style="64" min="17" max="17"/>
  </cols>
  <sheetData>
    <row r="1" ht="45.75" customHeight="1" s="65">
      <c r="A1" s="70" t="inlineStr">
        <is>
          <t>ID</t>
        </is>
      </c>
      <c r="B1" s="70" t="inlineStr">
        <is>
          <t>Item / interface</t>
        </is>
      </c>
      <c r="C1" s="70" t="inlineStr">
        <is>
          <t>Function</t>
        </is>
      </c>
      <c r="D1" s="70" t="inlineStr">
        <is>
          <t>Failure mode</t>
        </is>
      </c>
      <c r="E1" s="70" t="inlineStr">
        <is>
          <t>Effect</t>
        </is>
      </c>
      <c r="F1" s="70" t="inlineStr">
        <is>
          <t>S</t>
        </is>
      </c>
      <c r="G1" s="70" t="inlineStr">
        <is>
          <t>Potential cause</t>
        </is>
      </c>
      <c r="H1" s="70" t="inlineStr">
        <is>
          <t>O</t>
        </is>
      </c>
      <c r="I1" s="70" t="inlineStr">
        <is>
          <t>Current controls</t>
        </is>
      </c>
      <c r="J1" s="70" t="inlineStr">
        <is>
          <t>D</t>
        </is>
      </c>
      <c r="K1" s="70" t="inlineStr">
        <is>
          <t>RPN</t>
        </is>
      </c>
      <c r="L1" s="70" t="inlineStr">
        <is>
          <t>AP</t>
        </is>
      </c>
      <c r="M1" s="70" t="inlineStr">
        <is>
          <t>Recommended action</t>
        </is>
      </c>
      <c r="N1" s="70" t="inlineStr">
        <is>
          <t>Owner</t>
        </is>
      </c>
      <c r="O1" s="70" t="inlineStr">
        <is>
          <t>Linked tests</t>
        </is>
      </c>
      <c r="P1" s="70" t="inlineStr">
        <is>
          <t>Plain English (exec)</t>
        </is>
      </c>
      <c r="Q1" s="70" t="inlineStr">
        <is>
          <t>Action status</t>
        </is>
      </c>
    </row>
    <row r="2" ht="34.5" customHeight="1" s="65">
      <c r="A2" s="71" t="inlineStr">
        <is>
          <t>F01</t>
        </is>
      </c>
      <c r="B2" s="71" t="inlineStr">
        <is>
          <t>E-Stop dispatch tree</t>
        </is>
      </c>
      <c r="C2" s="71" t="inlineStr">
        <is>
          <t>Remove all HV energy in order</t>
        </is>
      </c>
      <c r="D2" s="71" t="inlineStr">
        <is>
          <t>Contactors open while current still flows</t>
        </is>
      </c>
      <c r="E2" s="71" t="inlineStr">
        <is>
          <t>Contactor weld or arc; HV stays live; fire or shock risk</t>
        </is>
      </c>
      <c r="F2" s="76" t="n">
        <v>10</v>
      </c>
      <c r="G2" s="71" t="inlineStr">
        <is>
          <t>T1/T2/T3 delays undefined; ITV/choppers slower than contactor timer</t>
        </is>
      </c>
      <c r="H2" s="76" t="n">
        <v>6</v>
      </c>
      <c r="I2" s="71" t="inlineStr">
        <is>
          <t>Hardware-only disconnect paths in design; no timing test yet</t>
        </is>
      </c>
      <c r="J2" s="76" t="n">
        <v>6</v>
      </c>
      <c r="K2" s="71">
        <f>F2*H2*J2</f>
        <v/>
      </c>
      <c r="L2" s="77">
        <f>IF(OR(AND(F2&gt;=9,H2&gt;=4),AND(F2&gt;=7,H2&gt;=6),AND(F2&gt;=9,H2&gt;=2,J2&gt;=7)),"H",IF(OR(AND(F2&gt;=7,H2&gt;=4),AND(F2&gt;=5,H2&gt;=6),AND(F2&gt;=9,J2&gt;=5)),"M","L"))</f>
        <v/>
      </c>
      <c r="M2" s="71" t="inlineStr">
        <is>
          <t>Define T1-T3 numerically with Integral; scope-test on bench and at full V</t>
        </is>
      </c>
      <c r="N2" s="71" t="inlineStr">
        <is>
          <t>Micah + Integral</t>
        </is>
      </c>
      <c r="O2" s="71" t="inlineStr">
        <is>
          <t>C-06, H-09, J-10</t>
        </is>
      </c>
      <c r="P2" s="71" t="inlineStr">
        <is>
          <t>Emergency stop might open switches under load and weld them. We will time it on the bench and at full voltage.</t>
        </is>
      </c>
      <c r="Q2" s="71" t="inlineStr">
        <is>
          <t>Open</t>
        </is>
      </c>
    </row>
    <row r="3" ht="34.5" customHeight="1" s="65">
      <c r="A3" s="74" t="inlineStr">
        <is>
          <t>F02</t>
        </is>
      </c>
      <c r="B3" s="74" t="inlineStr">
        <is>
          <t>DC-link contactor control</t>
        </is>
      </c>
      <c r="C3" s="74" t="inlineStr">
        <is>
          <t>Connect battery to choppers safely</t>
        </is>
      </c>
      <c r="D3" s="74" t="inlineStr">
        <is>
          <t>Two controllers command the same contactor (VMS VIO vs LCC)</t>
        </is>
      </c>
      <c r="E3" s="74" t="inlineStr">
        <is>
          <t>Precharge skipped, inrush, contactor weld, chopper damage</t>
        </is>
      </c>
      <c r="F3" s="131" t="n">
        <v>8</v>
      </c>
      <c r="G3" s="74" t="inlineStr">
        <is>
          <t>Arch doc says VMS VIO owns it; deck FER page says LCC controls all FER switchgear</t>
        </is>
      </c>
      <c r="H3" s="131" t="n">
        <v>5</v>
      </c>
      <c r="I3" s="74" t="inlineStr">
        <is>
          <t>None; open conflict</t>
        </is>
      </c>
      <c r="J3" s="131" t="n">
        <v>5</v>
      </c>
      <c r="K3" s="74">
        <f>F3*H3*J3</f>
        <v/>
      </c>
      <c r="L3" s="132">
        <f>IF(OR(AND(F3&gt;=9,H3&gt;=4),AND(F3&gt;=7,H3&gt;=6),AND(F3&gt;=9,H3&gt;=2,J3&gt;=7)),"H",IF(OR(AND(F3&gt;=7,H3&gt;=4),AND(F3&gt;=5,H3&gt;=6),AND(F3&gt;=9,J3&gt;=5)),"M","L"))</f>
        <v/>
      </c>
      <c r="M3" s="74" t="inlineStr">
        <is>
          <t>Write one ICD line: who commands, who monitors, interlock between them; Jonathan 2026-10-12: Integral is the only master of the DC-link to TRB-bus contactors; write this ICD line and remove the VMS VIO path from the architecture doc</t>
        </is>
      </c>
      <c r="N3" s="74" t="inlineStr">
        <is>
          <t>Jonathan + Integral</t>
        </is>
      </c>
      <c r="O3" s="74" t="inlineStr">
        <is>
          <t>C-05, H-07</t>
        </is>
      </c>
      <c r="P3" s="74" t="inlineStr">
        <is>
          <t>Two computers think they control the same main switch. One owner must be written down.</t>
        </is>
      </c>
      <c r="Q3" s="74" t="inlineStr">
        <is>
          <t>Open</t>
        </is>
      </c>
    </row>
    <row r="4" ht="34.5" customHeight="1" s="65">
      <c r="A4" s="71" t="inlineStr">
        <is>
          <t>F03</t>
        </is>
      </c>
      <c r="B4" s="71" t="inlineStr">
        <is>
          <t>Precharge circuit</t>
        </is>
      </c>
      <c r="C4" s="71" t="inlineStr">
        <is>
          <t>Charge DC-link capacitance before main close</t>
        </is>
      </c>
      <c r="D4" s="71" t="inlineStr">
        <is>
          <t>Precharge too slow or resistor overheats</t>
        </is>
      </c>
      <c r="E4" s="71" t="inlineStr">
        <is>
          <t>Main contactor closes on large dV; resistor or contactor damage</t>
        </is>
      </c>
      <c r="F4" s="76" t="n">
        <v>8</v>
      </c>
      <c r="G4" s="71" t="inlineStr">
        <is>
          <t>Capacitance larger than sized (ITV 13,770 uF + LCF 9,200 uF + choppers)</t>
        </is>
      </c>
      <c r="H4" s="76" t="n">
        <v>4</v>
      </c>
      <c r="I4" s="71" t="inlineStr">
        <is>
          <t>Close threshold raised to 99% in sim</t>
        </is>
      </c>
      <c r="J4" s="76" t="n">
        <v>4</v>
      </c>
      <c r="K4" s="71">
        <f>F4*H4*J4</f>
        <v/>
      </c>
      <c r="L4" s="77">
        <f>IF(OR(AND(F4&gt;=9,H4&gt;=4),AND(F4&gt;=7,H4&gt;=6),AND(F4&gt;=9,H4&gt;=2,J4&gt;=7)),"H",IF(OR(AND(F4&gt;=7,H4&gt;=4),AND(F4&gt;=5,H4&gt;=6),AND(F4&gt;=9,J4&gt;=5)),"M","L"))</f>
        <v/>
      </c>
      <c r="M4" s="71" t="inlineStr">
        <is>
          <t>Verify resistor energy rating vs total capacitance; test with cap bank</t>
        </is>
      </c>
      <c r="N4" s="71" t="inlineStr">
        <is>
          <t>Mitchell</t>
        </is>
      </c>
      <c r="O4" s="71" t="inlineStr">
        <is>
          <t>C-05, C-14, H-07</t>
        </is>
      </c>
      <c r="P4" s="71" t="inlineStr">
        <is>
          <t>Start-up charging circuit may be undersized for all the capacitors now connected.</t>
        </is>
      </c>
      <c r="Q4" s="71" t="inlineStr">
        <is>
          <t>Open</t>
        </is>
      </c>
    </row>
    <row r="5" ht="23.25" customHeight="1" s="65">
      <c r="A5" s="71" t="inlineStr">
        <is>
          <t>F04</t>
        </is>
      </c>
      <c r="B5" s="71" t="inlineStr">
        <is>
          <t>String paralleling</t>
        </is>
      </c>
      <c r="C5" s="71" t="inlineStr">
        <is>
          <t>Connect 6 strings to one bus</t>
        </is>
      </c>
      <c r="D5" s="71" t="inlineStr">
        <is>
          <t>Strings at different voltages connected together</t>
        </is>
      </c>
      <c r="E5" s="71" t="inlineStr">
        <is>
          <t>Large circulating current; fuse blows; pack damage</t>
        </is>
      </c>
      <c r="F5" s="76" t="n">
        <v>9</v>
      </c>
      <c r="G5" s="71" t="inlineStr">
        <is>
          <t>Connection algorithm not yet validated; combiners not developed</t>
        </is>
      </c>
      <c r="H5" s="76" t="n">
        <v>5</v>
      </c>
      <c r="I5" s="71" t="inlineStr">
        <is>
          <t>BCU voltage data available</t>
        </is>
      </c>
      <c r="J5" s="76" t="n">
        <v>5</v>
      </c>
      <c r="K5" s="71">
        <f>F5*H5*J5</f>
        <v/>
      </c>
      <c r="L5" s="77">
        <f>IF(OR(AND(F5&gt;=9,H5&gt;=4),AND(F5&gt;=7,H5&gt;=6),AND(F5&gt;=9,H5&gt;=2,J5&gt;=7)),"H",IF(OR(AND(F5&gt;=7,H5&gt;=4),AND(F5&gt;=5,H5&gt;=6),AND(F5&gt;=9,J5&gt;=5)),"M","L"))</f>
        <v/>
      </c>
      <c r="M5" s="71" t="inlineStr">
        <is>
          <t>Define dV limit; test with 2 strings; enforce in VMS</t>
        </is>
      </c>
      <c r="N5" s="71" t="inlineStr">
        <is>
          <t>Micah</t>
        </is>
      </c>
      <c r="O5" s="71" t="inlineStr">
        <is>
          <t>C-04, H-05</t>
        </is>
      </c>
      <c r="P5" s="71" t="inlineStr">
        <is>
          <t>Battery strings at different charge levels could short-circuit each other when joined.</t>
        </is>
      </c>
      <c r="Q5" s="71" t="inlineStr">
        <is>
          <t>Open</t>
        </is>
      </c>
    </row>
    <row r="6" ht="23.25" customHeight="1" s="65">
      <c r="A6" s="74" t="inlineStr">
        <is>
          <t>F05</t>
        </is>
      </c>
      <c r="B6" s="74" t="inlineStr">
        <is>
          <t>BMS data path</t>
        </is>
      </c>
      <c r="C6" s="74" t="inlineStr">
        <is>
          <t>Give VMS cell limits</t>
        </is>
      </c>
      <c r="D6" s="74" t="inlineStr">
        <is>
          <t>BCU data lost or stale (Modbus TCP, no ESMU)</t>
        </is>
      </c>
      <c r="E6" s="74" t="inlineStr">
        <is>
          <t>VMS runs blind; over-charge or over-discharge</t>
        </is>
      </c>
      <c r="F6" s="131" t="n">
        <v>9</v>
      </c>
      <c r="G6" s="74" t="inlineStr">
        <is>
          <t>Ethernet fault; BCU reboot; no watchdog</t>
        </is>
      </c>
      <c r="H6" s="131" t="n">
        <v>5</v>
      </c>
      <c r="I6" s="74" t="inlineStr">
        <is>
          <t>BCUs integrated on bench</t>
        </is>
      </c>
      <c r="J6" s="131" t="n">
        <v>5</v>
      </c>
      <c r="K6" s="74">
        <f>F6*H6*J6</f>
        <v/>
      </c>
      <c r="L6" s="132">
        <f>IF(OR(AND(F6&gt;=9,H6&gt;=4),AND(F6&gt;=7,H6&gt;=6),AND(F6&gt;=9,H6&gt;=2,J6&gt;=7)),"H",IF(OR(AND(F6&gt;=7,H6&gt;=4),AND(F6&gt;=5,H6&gt;=6),AND(F6&gt;=9,J6&gt;=5)),"M","L"))</f>
        <v/>
      </c>
      <c r="M6" s="74" t="inlineStr">
        <is>
          <t>Comm-loss timeout -&gt; open contactors; test by unplugging; Jonathan 2026-10-13: if a string stops reporting, isolate that string with its combiner panel contactors, derate the system and alert the operator</t>
        </is>
      </c>
      <c r="N6" s="74" t="inlineStr">
        <is>
          <t>Micah</t>
        </is>
      </c>
      <c r="O6" s="74" t="inlineStr">
        <is>
          <t>C-03, H-21</t>
        </is>
      </c>
      <c r="P6" s="74" t="inlineStr">
        <is>
          <t>If the battery stops reporting, the system must shut down, not keep running blind.</t>
        </is>
      </c>
      <c r="Q6" s="74" t="inlineStr">
        <is>
          <t>Open</t>
        </is>
      </c>
    </row>
    <row r="7" ht="34.5" customHeight="1" s="65">
      <c r="A7" s="74" t="inlineStr">
        <is>
          <t>F06</t>
        </is>
      </c>
      <c r="B7" s="74" t="inlineStr">
        <is>
          <t>Cell charge rate</t>
        </is>
      </c>
      <c r="C7" s="74" t="inlineStr">
        <is>
          <t>Accept charge without damage</t>
        </is>
      </c>
      <c r="D7" s="74" t="inlineStr">
        <is>
          <t>Charge current above cell rating</t>
        </is>
      </c>
      <c r="E7" s="74" t="inlineStr">
        <is>
          <t>Accelerated aging, lithium plating, heat</t>
        </is>
      </c>
      <c r="F7" s="131" t="n">
        <v>8</v>
      </c>
      <c r="G7" s="74" t="inlineStr">
        <is>
          <t>Demo limit 2.1 MW at the wire (ground ESS 0.5C, &lt;= 1,666 A) = 0.42C into 5.02 MWh, inside the 0.5C cell rating; 3 MW dynamic target retired for the demo</t>
        </is>
      </c>
      <c r="H7" s="131" t="n">
        <v>3</v>
      </c>
      <c r="I7" s="74" t="inlineStr">
        <is>
          <t>VMS power limit (not yet validated)</t>
        </is>
      </c>
      <c r="J7" s="131" t="n">
        <v>6</v>
      </c>
      <c r="K7" s="74">
        <f>F7*H7*J7</f>
        <v/>
      </c>
      <c r="L7" s="132">
        <f>IF(OR(AND(F7&gt;=9,H7&gt;=4),AND(F7&gt;=7,H7&gt;=6),AND(F7&gt;=9,H7&gt;=2,J7&gt;=7)),"H",IF(OR(AND(F7&gt;=7,H7&gt;=4),AND(F7&gt;=5,H7&gt;=6),AND(F7&gt;=9,J7&gt;=5)),"M","L"))</f>
        <v/>
      </c>
      <c r="M7" s="74" t="inlineStr">
        <is>
          <t>Cap the VMS/ITV charge request at 2.1 MW; verify wayside limits in J-25; Jinko/BMS written limit still needed post-demo (MCS 2.25 MW/port)</t>
        </is>
      </c>
      <c r="N7" s="74" t="inlineStr">
        <is>
          <t>Bill + Micah</t>
        </is>
      </c>
      <c r="O7" s="74" t="inlineStr">
        <is>
          <t>J-06, J-09, J-25</t>
        </is>
      </c>
      <c r="P7" s="74" t="inlineStr">
        <is>
          <t>The demo charger site can only deliver 2.1 MW, which keeps the battery below its charge rating.</t>
        </is>
      </c>
      <c r="Q7" s="74" t="inlineStr">
        <is>
          <t>Open</t>
        </is>
      </c>
    </row>
    <row r="8" ht="34.5" customHeight="1" s="65">
      <c r="A8" s="71" t="inlineStr">
        <is>
          <t>F07</t>
        </is>
      </c>
      <c r="B8" s="71" t="inlineStr">
        <is>
          <t>Battery cooling</t>
        </is>
      </c>
      <c r="C8" s="71" t="inlineStr">
        <is>
          <t>Hold cell temperature during fast charge</t>
        </is>
      </c>
      <c r="D8" s="71" t="inlineStr">
        <is>
          <t>Cooling can't keep up</t>
        </is>
      </c>
      <c r="E8" s="71" t="inlineStr">
        <is>
          <t>Charge derates or stops mid-demo</t>
        </is>
      </c>
      <c r="F8" s="76" t="n">
        <v>6</v>
      </c>
      <c r="G8" s="71" t="inlineStr">
        <is>
          <t>~38 kW battery heat est.; only 1 of 3-4 modules in bring-up; Florida heat</t>
        </is>
      </c>
      <c r="H8" s="76" t="n">
        <v>6</v>
      </c>
      <c r="I8" s="71" t="inlineStr">
        <is>
          <t>BTMS rated 60 kW</t>
        </is>
      </c>
      <c r="J8" s="76" t="n">
        <v>5</v>
      </c>
      <c r="K8" s="71">
        <f>F8*H8*J8</f>
        <v/>
      </c>
      <c r="L8" s="77">
        <f>IF(OR(AND(F8&gt;=9,H8&gt;=4),AND(F8&gt;=7,H8&gt;=6),AND(F8&gt;=9,H8&gt;=2,J8&gt;=7)),"H",IF(OR(AND(F8&gt;=7,H8&gt;=4),AND(F8&gt;=5,H8&gt;=6),AND(F8&gt;=9,J8&gt;=5)),"M","L"))</f>
        <v/>
      </c>
      <c r="M8" s="71" t="inlineStr">
        <is>
          <t>Bring up all modules; pre-cool before demo; measure in J-06</t>
        </is>
      </c>
      <c r="N8" s="71" t="inlineStr">
        <is>
          <t>Jack / VJ</t>
        </is>
      </c>
      <c r="O8" s="71" t="inlineStr">
        <is>
          <t>C-11, H-15, J-06</t>
        </is>
      </c>
      <c r="P8" s="71" t="inlineStr">
        <is>
          <t>Battery may get too hot during the charging demo and slow down.</t>
        </is>
      </c>
      <c r="Q8" s="71" t="inlineStr">
        <is>
          <t>Open</t>
        </is>
      </c>
    </row>
    <row r="9" ht="34.5" customHeight="1" s="65">
      <c r="A9" s="71" t="inlineStr">
        <is>
          <t>F08</t>
        </is>
      </c>
      <c r="B9" s="71" t="inlineStr">
        <is>
          <t>Pantograph contact at low speed</t>
        </is>
      </c>
      <c r="C9" s="71" t="inlineStr">
        <is>
          <t>Carry ~960 A per head at 0.5 mph</t>
        </is>
      </c>
      <c r="D9" s="71" t="inlineStr">
        <is>
          <t>Strip or wire overheats (near-static contact)</t>
        </is>
      </c>
      <c r="E9" s="71" t="inlineStr">
        <is>
          <t>Strip damage, wire damage, arcing</t>
        </is>
      </c>
      <c r="F9" s="76" t="n">
        <v>7</v>
      </c>
      <c r="G9" s="71" t="inlineStr">
        <is>
          <t>Dynamic rating assumes speed; at 0.5 mph the contact point barely moves</t>
        </is>
      </c>
      <c r="H9" s="76" t="n">
        <v>5</v>
      </c>
      <c r="I9" s="71" t="inlineStr">
        <is>
          <t>Supplier static rating (971 A x2) in HLR</t>
        </is>
      </c>
      <c r="J9" s="76" t="n">
        <v>7</v>
      </c>
      <c r="K9" s="71">
        <f>F9*H9*J9</f>
        <v/>
      </c>
      <c r="L9" s="77">
        <f>IF(OR(AND(F9&gt;=9,H9&gt;=4),AND(F9&gt;=7,H9&gt;=6),AND(F9&gt;=9,H9&gt;=2,J9&gt;=7)),"H",IF(OR(AND(F9&gt;=7,H9&gt;=4),AND(F9&gt;=5,H9&gt;=6),AND(F9&gt;=9,J9&gt;=5)),"M","L"))</f>
        <v/>
      </c>
      <c r="M9" s="71" t="inlineStr">
        <is>
          <t>Confirm static/low-speed rating with supplier; IR camera on ramp</t>
        </is>
      </c>
      <c r="N9" s="71" t="inlineStr">
        <is>
          <t>Dave / Micah</t>
        </is>
      </c>
      <c r="O9" s="71" t="inlineStr">
        <is>
          <t>J-04, J-06, J-08, J-09</t>
        </is>
      </c>
      <c r="P9" s="71" t="inlineStr">
        <is>
          <t>At walking pace the pantograph behaves almost like a parked one and may overheat.</t>
        </is>
      </c>
      <c r="Q9" s="71" t="inlineStr">
        <is>
          <t>Open</t>
        </is>
      </c>
    </row>
    <row r="10" ht="23.25" customHeight="1" s="65">
      <c r="A10" s="71" t="inlineStr">
        <is>
          <t>F09</t>
        </is>
      </c>
      <c r="B10" s="71" t="inlineStr">
        <is>
          <t>Polarity selection</t>
        </is>
      </c>
      <c r="C10" s="71" t="inlineStr">
        <is>
          <t>Present correct polarity to charger</t>
        </is>
      </c>
      <c r="D10" s="71" t="inlineStr">
        <is>
          <t>Wrong polarity to ITV</t>
        </is>
      </c>
      <c r="E10" s="71" t="inlineStr">
        <is>
          <t>Charger damage</t>
        </is>
      </c>
      <c r="F10" s="76" t="n">
        <v>9</v>
      </c>
      <c r="G10" s="71" t="inlineStr">
        <is>
          <t>Polarity sense fault; reverser fault</t>
        </is>
      </c>
      <c r="H10" s="76" t="n">
        <v>3</v>
      </c>
      <c r="I10" s="71" t="inlineStr">
        <is>
          <t>Opto + isolated amp dual sensing</t>
        </is>
      </c>
      <c r="J10" s="76" t="n">
        <v>4</v>
      </c>
      <c r="K10" s="71">
        <f>F10*H10*J10</f>
        <v/>
      </c>
      <c r="L10" s="77">
        <f>IF(OR(AND(F10&gt;=9,H10&gt;=4),AND(F10&gt;=7,H10&gt;=6),AND(F10&gt;=9,H10&gt;=2,J10&gt;=7)),"H",IF(OR(AND(F10&gt;=7,H10&gt;=4),AND(F10&gt;=5,H10&gt;=6),AND(F10&gt;=9,J10&gt;=5)),"M","L"))</f>
        <v/>
      </c>
      <c r="M10" s="71" t="inlineStr">
        <is>
          <t>Test both polarities live (J-05); interlock HSCB on polarity agreement (J-23)</t>
        </is>
      </c>
      <c r="N10" s="71" t="inlineStr">
        <is>
          <t>Micah</t>
        </is>
      </c>
      <c r="O10" s="71" t="inlineStr">
        <is>
          <t>C-13, J-05, J-23</t>
        </is>
      </c>
      <c r="P10" s="71" t="inlineStr">
        <is>
          <t>Power could arrive backwards and damage the charger; two sensors check it.</t>
        </is>
      </c>
      <c r="Q10" s="71" t="inlineStr">
        <is>
          <t>Open</t>
        </is>
      </c>
    </row>
    <row r="11" ht="23.25" customHeight="1" s="65">
      <c r="A11" s="71" t="inlineStr">
        <is>
          <t>F10</t>
        </is>
      </c>
      <c r="B11" s="71" t="inlineStr">
        <is>
          <t>Pantograph fold</t>
        </is>
      </c>
      <c r="C11" s="71" t="inlineStr">
        <is>
          <t>Fold on E-Stop or power loss</t>
        </is>
      </c>
      <c r="D11" s="71" t="inlineStr">
        <is>
          <t>Pantograph stays up</t>
        </is>
      </c>
      <c r="E11" s="71" t="inlineStr">
        <is>
          <t>Wire or roof damage while moving</t>
        </is>
      </c>
      <c r="F11" s="76" t="n">
        <v>10</v>
      </c>
      <c r="G11" s="71" t="inlineStr">
        <is>
          <t>Firmware or actuator fault; HW timer not tested</t>
        </is>
      </c>
      <c r="H11" s="76" t="n">
        <v>3</v>
      </c>
      <c r="I11" s="71" t="inlineStr">
        <is>
          <t>Hardware timer fold path</t>
        </is>
      </c>
      <c r="J11" s="76" t="n">
        <v>5</v>
      </c>
      <c r="K11" s="71">
        <f>F11*H11*J11</f>
        <v/>
      </c>
      <c r="L11" s="77">
        <f>IF(OR(AND(F11&gt;=9,H11&gt;=4),AND(F11&gt;=7,H11&gt;=6),AND(F11&gt;=9,H11&gt;=2,J11&gt;=7)),"H",IF(OR(AND(F11&gt;=7,H11&gt;=4),AND(F11&gt;=5,H11&gt;=6),AND(F11&gt;=9,J11&gt;=5)),"M","L"))</f>
        <v/>
      </c>
      <c r="M11" s="71" t="inlineStr">
        <is>
          <t>Test fold with MCU disabled; fold under motion</t>
        </is>
      </c>
      <c r="N11" s="71" t="inlineStr">
        <is>
          <t>Micah</t>
        </is>
      </c>
      <c r="O11" s="71" t="inlineStr">
        <is>
          <t>C-13, J-10</t>
        </is>
      </c>
      <c r="P11" s="71" t="inlineStr">
        <is>
          <t>The pantograph must drop by itself in an emergency; not yet tested.</t>
        </is>
      </c>
      <c r="Q11" s="71" t="inlineStr">
        <is>
          <t>Open</t>
        </is>
      </c>
    </row>
    <row r="12" ht="34.5" customHeight="1" s="65">
      <c r="A12" s="71" t="inlineStr">
        <is>
          <t>F11</t>
        </is>
      </c>
      <c r="B12" s="71" t="inlineStr">
        <is>
          <t>Loco &lt;-&gt; wayside handshake</t>
        </is>
      </c>
      <c r="C12" s="71" t="inlineStr">
        <is>
          <t>Coordinate charging</t>
        </is>
      </c>
      <c r="D12" s="71" t="inlineStr">
        <is>
          <t>Handshake not ready or unstable</t>
        </is>
      </c>
      <c r="E12" s="71" t="inlineStr">
        <is>
          <t>No charging demo</t>
        </is>
      </c>
      <c r="F12" s="76" t="n">
        <v>8</v>
      </c>
      <c r="G12" s="71" t="inlineStr">
        <is>
          <t>Panto firmware + PLC software unfinished; single owners (Micah, Yoni)</t>
        </is>
      </c>
      <c r="H12" s="76" t="n">
        <v>7</v>
      </c>
      <c r="I12" s="71" t="inlineStr">
        <is>
          <t>Simulator; Gantt line 79</t>
        </is>
      </c>
      <c r="J12" s="76" t="n">
        <v>3</v>
      </c>
      <c r="K12" s="71">
        <f>F12*H12*J12</f>
        <v/>
      </c>
      <c r="L12" s="77">
        <f>IF(OR(AND(F12&gt;=9,H12&gt;=4),AND(F12&gt;=7,H12&gt;=6),AND(F12&gt;=9,H12&gt;=2,J12&gt;=7)),"H",IF(OR(AND(F12&gt;=7,H12&gt;=4),AND(F12&gt;=5,H12&gt;=6),AND(F12&gt;=9,J12&gt;=5)),"M","L"))</f>
        <v/>
      </c>
      <c r="M12" s="71" t="inlineStr">
        <is>
          <t>Hire/assign firmware backup; joint SIL test before site</t>
        </is>
      </c>
      <c r="N12" s="71" t="inlineStr">
        <is>
          <t>Bill + Matan</t>
        </is>
      </c>
      <c r="O12" s="71" t="inlineStr">
        <is>
          <t>J-07</t>
        </is>
      </c>
      <c r="P12" s="71" t="inlineStr">
        <is>
          <t>Locomotive and charger software must talk; few people know it.</t>
        </is>
      </c>
      <c r="Q12" s="71" t="inlineStr">
        <is>
          <t>Open</t>
        </is>
      </c>
    </row>
    <row r="13" ht="23.25" customHeight="1" s="65">
      <c r="A13" s="74" t="inlineStr">
        <is>
          <t>F12</t>
        </is>
      </c>
      <c r="B13" s="74" t="inlineStr">
        <is>
          <t>ITV onboard charger</t>
        </is>
      </c>
      <c r="C13" s="74" t="inlineStr">
        <is>
          <t>Convert wire power to battery charge</t>
        </is>
      </c>
      <c r="D13" s="74" t="inlineStr">
        <is>
          <t>ITV not delivered in time</t>
        </is>
      </c>
      <c r="E13" s="74" t="inlineStr">
        <is>
          <t>No dynamic charging (fallback = static only)</t>
        </is>
      </c>
      <c r="F13" s="131" t="n">
        <v>8</v>
      </c>
      <c r="G13" s="74" t="inlineStr">
        <is>
          <t>Integral builds ITV after choppers; no date; ITV date per Jonathan: Oct 19 if all goes well, end of October latest</t>
        </is>
      </c>
      <c r="H13" s="131" t="n">
        <v>7</v>
      </c>
      <c r="I13" s="74" t="inlineStr">
        <is>
          <t>Weekly Integral status</t>
        </is>
      </c>
      <c r="J13" s="131" t="n">
        <v>2</v>
      </c>
      <c r="K13" s="74">
        <f>F13*H13*J13</f>
        <v/>
      </c>
      <c r="L13" s="132">
        <f>IF(OR(AND(F13&gt;=9,H13&gt;=4),AND(F13&gt;=7,H13&gt;=6),AND(F13&gt;=9,H13&gt;=2,J13&gt;=7)),"H",IF(OR(AND(F13&gt;=7,H13&gt;=4),AND(F13&gt;=5,H13&gt;=6),AND(F13&gt;=9,J13&gt;=5)),"M","L"))</f>
        <v/>
      </c>
      <c r="M13" s="74" t="inlineStr">
        <is>
          <t>Get ITV/LCF build date from Integral now; decide fallback demo; No dynamic charging without the ITV (F69); fallback demo is static charging only</t>
        </is>
      </c>
      <c r="N13" s="74" t="inlineStr">
        <is>
          <t>Jonathan</t>
        </is>
      </c>
      <c r="O13" s="74" t="inlineStr">
        <is>
          <t>J-06</t>
        </is>
      </c>
      <c r="P13" s="74" t="inlineStr">
        <is>
          <t>The onboard charger has no delivery date; without it, no dynamic charging.</t>
        </is>
      </c>
      <c r="Q13" s="74" t="inlineStr">
        <is>
          <t>Open</t>
        </is>
      </c>
    </row>
    <row r="14" ht="23.25" customHeight="1" s="65">
      <c r="A14" s="71" t="inlineStr">
        <is>
          <t>F13</t>
        </is>
      </c>
      <c r="B14" s="71" t="inlineStr">
        <is>
          <t>AES wayside charger</t>
        </is>
      </c>
      <c r="C14" s="71" t="inlineStr">
        <is>
          <t>Supply wire power</t>
        </is>
      </c>
      <c r="D14" s="71" t="inlineStr">
        <is>
          <t>Charger arrives late</t>
        </is>
      </c>
      <c r="E14" s="71" t="inlineStr">
        <is>
          <t>No on-site charging test window</t>
        </is>
      </c>
      <c r="F14" s="76" t="n">
        <v>8</v>
      </c>
      <c r="G14" s="71" t="inlineStr">
        <is>
          <t>Supplier lead time; late Nov-mid Dec</t>
        </is>
      </c>
      <c r="H14" s="76" t="n">
        <v>7</v>
      </c>
      <c r="I14" s="71" t="inlineStr">
        <is>
          <t>CEO escalation (Oren)</t>
        </is>
      </c>
      <c r="J14" s="76" t="n">
        <v>2</v>
      </c>
      <c r="K14" s="71">
        <f>F14*H14*J14</f>
        <v/>
      </c>
      <c r="L14" s="77">
        <f>IF(OR(AND(F14&gt;=9,H14&gt;=4),AND(F14&gt;=7,H14&gt;=6),AND(F14&gt;=9,H14&gt;=2,J14&gt;=7)),"H",IF(OR(AND(F14&gt;=7,H14&gt;=4),AND(F14&gt;=5,H14&gt;=6),AND(F14&gt;=9,J14&gt;=5)),"M","L"))</f>
        <v/>
      </c>
      <c r="M14" s="71" t="inlineStr">
        <is>
          <t>Expedite; plan static tests to start day 1 of arrival</t>
        </is>
      </c>
      <c r="N14" s="71" t="inlineStr">
        <is>
          <t>Oren</t>
        </is>
      </c>
      <c r="O14" s="71" t="inlineStr">
        <is>
          <t>J-03</t>
        </is>
      </c>
      <c r="P14" s="71" t="inlineStr">
        <is>
          <t>The track-side charger may arrive mid-December.</t>
        </is>
      </c>
      <c r="Q14" s="71" t="inlineStr">
        <is>
          <t>Open</t>
        </is>
      </c>
    </row>
    <row r="15" ht="23.25" customHeight="1" s="65">
      <c r="A15" s="71" t="inlineStr">
        <is>
          <t>F14</t>
        </is>
      </c>
      <c r="B15" s="71" t="inlineStr">
        <is>
          <t>Pantograph hatch</t>
        </is>
      </c>
      <c r="C15" s="71" t="inlineStr">
        <is>
          <t>Support pantos, seal roof, keep clearance</t>
        </is>
      </c>
      <c r="D15" s="71" t="inlineStr">
        <is>
          <t>Hatch late or outside Plate M</t>
        </is>
      </c>
      <c r="E15" s="71" t="inlineStr">
        <is>
          <t>Pantos not fitted; clearance violation in transit</t>
        </is>
      </c>
      <c r="F15" s="76" t="n">
        <v>7</v>
      </c>
      <c r="G15" s="71" t="inlineStr">
        <is>
          <t>Final design/venting open; build into Dec</t>
        </is>
      </c>
      <c r="H15" s="76" t="n">
        <v>6</v>
      </c>
      <c r="I15" s="71" t="inlineStr">
        <is>
          <t>Design frozen except venting</t>
        </is>
      </c>
      <c r="J15" s="76" t="n">
        <v>4</v>
      </c>
      <c r="K15" s="71">
        <f>F15*H15*J15</f>
        <v/>
      </c>
      <c r="L15" s="77">
        <f>IF(OR(AND(F15&gt;=9,H15&gt;=4),AND(F15&gt;=7,H15&gt;=6),AND(F15&gt;=9,H15&gt;=2,J15&gt;=7)),"H",IF(OR(AND(F15&gt;=7,H15&gt;=4),AND(F15&gt;=5,H15&gt;=6),AND(F15&gt;=9,J15&gt;=5)),"M","L"))</f>
        <v/>
      </c>
      <c r="M15" s="71" t="inlineStr">
        <is>
          <t>Freeze venting; decide ship-with or ship-without pantos</t>
        </is>
      </c>
      <c r="N15" s="71" t="inlineStr">
        <is>
          <t>Dave / Dragan</t>
        </is>
      </c>
      <c r="O15" s="71" t="inlineStr">
        <is>
          <t>H-22, J-04</t>
        </is>
      </c>
      <c r="P15" s="71" t="inlineStr">
        <is>
          <t>Roof structure for the pantographs is the last item and runs into December.</t>
        </is>
      </c>
      <c r="Q15" s="71" t="inlineStr">
        <is>
          <t>Open</t>
        </is>
      </c>
    </row>
    <row r="16" ht="23.25" customHeight="1" s="65">
      <c r="A16" s="74" t="inlineStr">
        <is>
          <t>F15</t>
        </is>
      </c>
      <c r="B16" s="74" t="inlineStr">
        <is>
          <t>Isolation monitoring</t>
        </is>
      </c>
      <c r="C16" s="74" t="inlineStr">
        <is>
          <t>Detect HV leakage to chassis</t>
        </is>
      </c>
      <c r="D16" s="74" t="inlineStr">
        <is>
          <t>Ground fault not detected</t>
        </is>
      </c>
      <c r="E16" s="74" t="inlineStr">
        <is>
          <t>Shock risk to crew; second fault = short</t>
        </is>
      </c>
      <c r="F16" s="131" t="n">
        <v>10</v>
      </c>
      <c r="G16" s="74" t="inlineStr">
        <is>
          <t>Continuous ground-fault detection exists (Jonathan 2026-10-13); unconfirmed whether it senses the TRB-bus (source) or only the DC-link</t>
        </is>
      </c>
      <c r="H16" s="131" t="n">
        <v>4</v>
      </c>
      <c r="I16" s="74" t="inlineStr">
        <is>
          <t>MCS isolation check only at the inlet</t>
        </is>
      </c>
      <c r="J16" s="131" t="n">
        <v>7</v>
      </c>
      <c r="K16" s="74">
        <f>F16*H16*J16</f>
        <v/>
      </c>
      <c r="L16" s="132">
        <f>IF(OR(AND(F16&gt;=9,H16&gt;=4),AND(F16&gt;=7,H16&gt;=6),AND(F16&gt;=9,H16&gt;=2,J16&gt;=7)),"H",IF(OR(AND(F16&gt;=7,H16&gt;=4),AND(F16&gt;=5,H16&gt;=6),AND(F16&gt;=9,J16&gt;=5)),"M","L"))</f>
        <v/>
      </c>
      <c r="M16" s="74" t="inlineStr">
        <is>
          <t>Confirm the detector senses the TRB-bus; add a manual IR rule only if it does not; verify in H-06</t>
        </is>
      </c>
      <c r="N16" s="74" t="inlineStr">
        <is>
          <t>Jonathan</t>
        </is>
      </c>
      <c r="O16" s="74" t="inlineStr">
        <is>
          <t>C-16, H-06, J-01</t>
        </is>
      </c>
      <c r="P16" s="74" t="inlineStr">
        <is>
          <t>Nothing continuously checks the high-voltage system for leaks to the frame.</t>
        </is>
      </c>
      <c r="Q16" s="74" t="inlineStr">
        <is>
          <t>Open</t>
        </is>
      </c>
    </row>
    <row r="17" ht="34.5" customHeight="1" s="65">
      <c r="A17" s="71" t="inlineStr">
        <is>
          <t>F16</t>
        </is>
      </c>
      <c r="B17" s="71" t="inlineStr">
        <is>
          <t>Grounding switch + RTV</t>
        </is>
      </c>
      <c r="C17" s="71" t="inlineStr">
        <is>
          <t>Prevent access to live HV</t>
        </is>
      </c>
      <c r="D17" s="71" t="inlineStr">
        <is>
          <t>Lever moves while HV present</t>
        </is>
      </c>
      <c r="E17" s="71" t="inlineStr">
        <is>
          <t>Electrocution</t>
        </is>
      </c>
      <c r="F17" s="76" t="n">
        <v>10</v>
      </c>
      <c r="G17" s="71" t="inlineStr">
        <is>
          <t>RTV not developed; interlock not tested</t>
        </is>
      </c>
      <c r="H17" s="76" t="n">
        <v>3</v>
      </c>
      <c r="I17" s="71" t="inlineStr">
        <is>
          <t>Design: EM release only &lt;50 V for 5 s</t>
        </is>
      </c>
      <c r="J17" s="76" t="n">
        <v>4</v>
      </c>
      <c r="K17" s="71">
        <f>F17*H17*J17</f>
        <v/>
      </c>
      <c r="L17" s="77">
        <f>IF(OR(AND(F17&gt;=9,H17&gt;=4),AND(F17&gt;=7,H17&gt;=6),AND(F17&gt;=9,H17&gt;=2,J17&gt;=7)),"H",IF(OR(AND(F17&gt;=7,H17&gt;=4),AND(F17&gt;=5,H17&gt;=6),AND(F17&gt;=9,J17&gt;=5)),"M","L"))</f>
        <v/>
      </c>
      <c r="M17" s="71" t="inlineStr">
        <is>
          <t>Build and test RTV before first HV at Huntington</t>
        </is>
      </c>
      <c r="N17" s="71" t="inlineStr">
        <is>
          <t>Micah</t>
        </is>
      </c>
      <c r="O17" s="71" t="inlineStr">
        <is>
          <t>C-15</t>
        </is>
      </c>
      <c r="P17" s="71" t="inlineStr">
        <is>
          <t>Maintenance safety lock is not built yet; it must work before full voltage. Padlock is optional for the tow; the interlock is not.</t>
        </is>
      </c>
      <c r="Q17" s="71" t="inlineStr">
        <is>
          <t>Open</t>
        </is>
      </c>
    </row>
    <row r="18" ht="23.25" customHeight="1" s="65">
      <c r="A18" s="71" t="inlineStr">
        <is>
          <t>F17</t>
        </is>
      </c>
      <c r="B18" s="71" t="inlineStr">
        <is>
          <t>72 V system</t>
        </is>
      </c>
      <c r="C18" s="71" t="inlineStr">
        <is>
          <t>Keep control and wake circuits alive</t>
        </is>
      </c>
      <c r="D18" s="71" t="inlineStr">
        <is>
          <t>72 V battery drained during a tow of up to 1.5 weeks</t>
        </is>
      </c>
      <c r="E18" s="71" t="inlineStr">
        <is>
          <t>Monitoring goes dark; cannot wake on arrival</t>
        </is>
      </c>
      <c r="F18" s="76" t="n">
        <v>6</v>
      </c>
      <c r="G18" s="71" t="inlineStr">
        <is>
          <t>Telemetry and BCUs run from the 72 V battery with HV off</t>
        </is>
      </c>
      <c r="H18" s="76" t="n">
        <v>6</v>
      </c>
      <c r="I18" s="71" t="inlineStr">
        <is>
          <t>Deep sleep design (~50 W)</t>
        </is>
      </c>
      <c r="J18" s="76" t="n">
        <v>4</v>
      </c>
      <c r="K18" s="71">
        <f>F18*H18*J18</f>
        <v/>
      </c>
      <c r="L18" s="77">
        <f>IF(OR(AND(F18&gt;=9,H18&gt;=4),AND(F18&gt;=7,H18&gt;=6),AND(F18&gt;=9,H18&gt;=2,J18&gt;=7)),"H",IF(OR(AND(F18&gt;=7,H18&gt;=4),AND(F18&gt;=5,H18&gt;=6),AND(F18&gt;=9,J18&gt;=5)),"M","L"))</f>
        <v/>
      </c>
      <c r="M18" s="71" t="inlineStr">
        <is>
          <t>Pick lean monitoring mode; measure draw (H-19); size against 650 Ah battery</t>
        </is>
      </c>
      <c r="N18" s="71" t="inlineStr">
        <is>
          <t>Mitchell</t>
        </is>
      </c>
      <c r="O18" s="71" t="inlineStr">
        <is>
          <t>H-19</t>
        </is>
      </c>
      <c r="P18" s="71" t="inlineStr">
        <is>
          <t>The small 72 V battery powers monitoring during the tow; it must last the whole trip.</t>
        </is>
      </c>
      <c r="Q18" s="71" t="inlineStr">
        <is>
          <t>Open</t>
        </is>
      </c>
    </row>
    <row r="19" ht="23.25" customHeight="1" s="65">
      <c r="A19" s="71" t="inlineStr">
        <is>
          <t>F18</t>
        </is>
      </c>
      <c r="B19" s="71" t="inlineStr">
        <is>
          <t>750V-PS</t>
        </is>
      </c>
      <c r="C19" s="71" t="inlineStr">
        <is>
          <t>Feed all aux loads</t>
        </is>
      </c>
      <c r="D19" s="71" t="inlineStr">
        <is>
          <t>Converter trips</t>
        </is>
      </c>
      <c r="E19" s="71" t="inlineStr">
        <is>
          <t>Loss of compressor, blowers, cooling during motion</t>
        </is>
      </c>
      <c r="F19" s="76" t="n">
        <v>8</v>
      </c>
      <c r="G19" s="71" t="inlineStr">
        <is>
          <t>Transients from inverters/choppers; control-V loss</t>
        </is>
      </c>
      <c r="H19" s="76" t="n">
        <v>4</v>
      </c>
      <c r="I19" s="71" t="inlineStr">
        <is>
          <t>Supplier: no uncommanded op on control-V loss</t>
        </is>
      </c>
      <c r="J19" s="76" t="n">
        <v>5</v>
      </c>
      <c r="K19" s="71">
        <f>F19*H19*J19</f>
        <v/>
      </c>
      <c r="L19" s="77">
        <f>IF(OR(AND(F19&gt;=9,H19&gt;=4),AND(F19&gt;=7,H19&gt;=6),AND(F19&gt;=9,H19&gt;=2,J19&gt;=7)),"H",IF(OR(AND(F19&gt;=7,H19&gt;=4),AND(F19&gt;=5,H19&gt;=6),AND(F19&gt;=9,J19&gt;=5)),"M","L"))</f>
        <v/>
      </c>
      <c r="M19" s="71" t="inlineStr">
        <is>
          <t>Transient test with real loads (H-08)</t>
        </is>
      </c>
      <c r="N19" s="71" t="inlineStr">
        <is>
          <t>Mitchell</t>
        </is>
      </c>
      <c r="O19" s="71" t="inlineStr">
        <is>
          <t>C-07, H-08</t>
        </is>
      </c>
      <c r="P19" s="71" t="inlineStr">
        <is>
          <t>One converter feeds every auxiliary; if it trips, cooling and air stop.</t>
        </is>
      </c>
      <c r="Q19" s="71" t="inlineStr">
        <is>
          <t>Open</t>
        </is>
      </c>
    </row>
    <row r="20" ht="23.25" customHeight="1" s="65">
      <c r="A20" s="71" t="inlineStr">
        <is>
          <t>F19</t>
        </is>
      </c>
      <c r="B20" s="71" t="inlineStr">
        <is>
          <t>Brake compressor</t>
        </is>
      </c>
      <c r="C20" s="71" t="inlineStr">
        <is>
          <t>Keep main reservoir pressure</t>
        </is>
      </c>
      <c r="D20" s="71" t="inlineStr">
        <is>
          <t>Compressor won't start (inrush)</t>
        </is>
      </c>
      <c r="E20" s="71" t="inlineStr">
        <is>
          <t>Low air; brakes apply; can't move</t>
        </is>
      </c>
      <c r="F20" s="76" t="n">
        <v>8</v>
      </c>
      <c r="G20" s="71" t="inlineStr">
        <is>
          <t>Inrush 5-6x FLA on one inverter</t>
        </is>
      </c>
      <c r="H20" s="76" t="n">
        <v>4</v>
      </c>
      <c r="I20" s="71" t="inlineStr">
        <is>
          <t>Test stand being built</t>
        </is>
      </c>
      <c r="J20" s="76" t="n">
        <v>4</v>
      </c>
      <c r="K20" s="71">
        <f>F20*H20*J20</f>
        <v/>
      </c>
      <c r="L20" s="77">
        <f>IF(OR(AND(F20&gt;=9,H20&gt;=4),AND(F20&gt;=7,H20&gt;=6),AND(F20&gt;=9,H20&gt;=2,J20&gt;=7)),"H",IF(OR(AND(F20&gt;=7,H20&gt;=4),AND(F20&gt;=5,H20&gt;=6),AND(F20&gt;=9,J20&gt;=5)),"M","L"))</f>
        <v/>
      </c>
      <c r="M20" s="71" t="inlineStr">
        <is>
          <t>Characterize inrush; soft-start settings</t>
        </is>
      </c>
      <c r="N20" s="71" t="inlineStr">
        <is>
          <t>Dave / Integral</t>
        </is>
      </c>
      <c r="O20" s="71" t="inlineStr">
        <is>
          <t>C-09, H-08</t>
        </is>
      </c>
      <c r="P20" s="71" t="inlineStr">
        <is>
          <t>Air compressor start-up current is high; tested on a stand first.</t>
        </is>
      </c>
      <c r="Q20" s="71" t="inlineStr">
        <is>
          <t>Open</t>
        </is>
      </c>
    </row>
    <row r="21" ht="23.25" customHeight="1" s="65">
      <c r="A21" s="71" t="inlineStr">
        <is>
          <t>F20</t>
        </is>
      </c>
      <c r="B21" s="71" t="inlineStr">
        <is>
          <t>Traction blowers</t>
        </is>
      </c>
      <c r="C21" s="71" t="inlineStr">
        <is>
          <t>Cool traction motors</t>
        </is>
      </c>
      <c r="D21" s="71" t="inlineStr">
        <is>
          <t>Blowers off or low</t>
        </is>
      </c>
      <c r="E21" s="71" t="inlineStr">
        <is>
          <t>Motor overheating in 20-min run or on the trip</t>
        </is>
      </c>
      <c r="F21" s="76" t="n">
        <v>7</v>
      </c>
      <c r="G21" s="71" t="inlineStr">
        <is>
          <t>Inverter integration by Integral pending</t>
        </is>
      </c>
      <c r="H21" s="76" t="n">
        <v>4</v>
      </c>
      <c r="I21" s="71" t="inlineStr">
        <is>
          <t>Motor temp limits in LCC (assumed)</t>
        </is>
      </c>
      <c r="J21" s="76" t="n">
        <v>5</v>
      </c>
      <c r="K21" s="71">
        <f>F21*H21*J21</f>
        <v/>
      </c>
      <c r="L21" s="77">
        <f>IF(OR(AND(F21&gt;=9,H21&gt;=4),AND(F21&gt;=7,H21&gt;=6),AND(F21&gt;=9,H21&gt;=2,J21&gt;=7)),"H",IF(OR(AND(F21&gt;=7,H21&gt;=4),AND(F21&gt;=5,H21&gt;=6),AND(F21&gt;=9,J21&gt;=5)),"M","L"))</f>
        <v/>
      </c>
      <c r="M21" s="71" t="inlineStr">
        <is>
          <t>Verify blower speeds vs motor current</t>
        </is>
      </c>
      <c r="N21" s="71" t="inlineStr">
        <is>
          <t>Integral</t>
        </is>
      </c>
      <c r="O21" s="71" t="inlineStr">
        <is>
          <t>C-10, H-15</t>
        </is>
      </c>
      <c r="P21" s="71" t="inlineStr">
        <is>
          <t>Motor cooling fans must run whenever the motors pull load.</t>
        </is>
      </c>
      <c r="Q21" s="71" t="inlineStr">
        <is>
          <t>Open</t>
        </is>
      </c>
    </row>
    <row r="22" ht="23.25" customHeight="1" s="65">
      <c r="A22" s="71" t="inlineStr">
        <is>
          <t>F21</t>
        </is>
      </c>
      <c r="B22" s="71" t="inlineStr">
        <is>
          <t>LCC &lt;-&gt; VMS interface</t>
        </is>
      </c>
      <c r="C22" s="71" t="inlineStr">
        <is>
          <t>Exchange limits and commands</t>
        </is>
      </c>
      <c r="D22" s="71" t="inlineStr">
        <is>
          <t>Message mismatch (PGN/DBC versions)</t>
        </is>
      </c>
      <c r="E22" s="71" t="inlineStr">
        <is>
          <t>No traction, or limits ignored</t>
        </is>
      </c>
      <c r="F22" s="76" t="n">
        <v>7</v>
      </c>
      <c r="G22" s="71" t="inlineStr">
        <is>
          <t>Spec R2 PGN changed 10/5; simulator not updated</t>
        </is>
      </c>
      <c r="H22" s="76" t="n">
        <v>6</v>
      </c>
      <c r="I22" s="71" t="inlineStr">
        <is>
          <t>Simulator v1.4</t>
        </is>
      </c>
      <c r="J22" s="76" t="n">
        <v>4</v>
      </c>
      <c r="K22" s="71">
        <f>F22*H22*J22</f>
        <v/>
      </c>
      <c r="L22" s="77">
        <f>IF(OR(AND(F22&gt;=9,H22&gt;=4),AND(F22&gt;=7,H22&gt;=6),AND(F22&gt;=9,H22&gt;=2,J22&gt;=7)),"H",IF(OR(AND(F22&gt;=7,H22&gt;=4),AND(F22&gt;=5,H22&gt;=6),AND(F22&gt;=9,J22&gt;=5)),"M","L"))</f>
        <v/>
      </c>
      <c r="M22" s="71" t="inlineStr">
        <is>
          <t>Put DBC under version control; SIL test before Huntington</t>
        </is>
      </c>
      <c r="N22" s="71" t="inlineStr">
        <is>
          <t>Micah + Bailey</t>
        </is>
      </c>
      <c r="O22" s="71" t="inlineStr">
        <is>
          <t>C-02, H-04, H-11</t>
        </is>
      </c>
      <c r="P22" s="71" t="inlineStr">
        <is>
          <t>Two companies' software must use the same message dictionary.</t>
        </is>
      </c>
      <c r="Q22" s="71" t="inlineStr">
        <is>
          <t>Open</t>
        </is>
      </c>
    </row>
    <row r="23" ht="34.5" customHeight="1" s="65">
      <c r="A23" s="71" t="inlineStr">
        <is>
          <t>F22</t>
        </is>
      </c>
      <c r="B23" s="71" t="inlineStr">
        <is>
          <t>Battery power limit</t>
        </is>
      </c>
      <c r="C23" s="71" t="inlineStr">
        <is>
          <t>Keep battery inside 1,884 A / 2.5 MW</t>
        </is>
      </c>
      <c r="D23" s="71" t="inlineStr">
        <is>
          <t>LCC draws more than battery allows</t>
        </is>
      </c>
      <c r="E23" s="71" t="inlineStr">
        <is>
          <t>Over-current trip or damage</t>
        </is>
      </c>
      <c r="F23" s="76" t="n">
        <v>8</v>
      </c>
      <c r="G23" s="71" t="inlineStr">
        <is>
          <t>4 choppers x 655 kW = 2.6 MW &gt; 2.5 MW ESS peak; Notch 8 (~3,000 hp) needs ~2.5 MW at battery</t>
        </is>
      </c>
      <c r="H23" s="76" t="n">
        <v>4</v>
      </c>
      <c r="I23" s="71" t="inlineStr">
        <is>
          <t>VMS power-limit message</t>
        </is>
      </c>
      <c r="J23" s="76" t="n">
        <v>5</v>
      </c>
      <c r="K23" s="71">
        <f>F23*H23*J23</f>
        <v/>
      </c>
      <c r="L23" s="77">
        <f>IF(OR(AND(F23&gt;=9,H23&gt;=4),AND(F23&gt;=7,H23&gt;=6),AND(F23&gt;=9,H23&gt;=2,J23&gt;=7)),"H",IF(OR(AND(F23&gt;=7,H23&gt;=4),AND(F23&gt;=5,H23&gt;=6),AND(F23&gt;=9,J23&gt;=5)),"M","L"))</f>
        <v/>
      </c>
      <c r="M23" s="71" t="inlineStr">
        <is>
          <t>Test limit change response (C-02); cap in LCC config</t>
        </is>
      </c>
      <c r="N23" s="71" t="inlineStr">
        <is>
          <t>Micah + Integral</t>
        </is>
      </c>
      <c r="O23" s="71" t="inlineStr">
        <is>
          <t>C-02, H-14</t>
        </is>
      </c>
      <c r="P23" s="71" t="inlineStr">
        <is>
          <t>Motors can pull slightly more than the battery's peak rating; software must cap it.</t>
        </is>
      </c>
      <c r="Q23" s="71" t="inlineStr">
        <is>
          <t>Open</t>
        </is>
      </c>
    </row>
    <row r="24" ht="23.25" customHeight="1" s="65">
      <c r="A24" s="71" t="inlineStr">
        <is>
          <t>F23</t>
        </is>
      </c>
      <c r="B24" s="71" t="inlineStr">
        <is>
          <t>Choppers + D77 motors</t>
        </is>
      </c>
      <c r="C24" s="71" t="inlineStr">
        <is>
          <t>Turn wheels with control</t>
        </is>
      </c>
      <c r="D24" s="71" t="inlineStr">
        <is>
          <t>Wrong direction or unstable control</t>
        </is>
      </c>
      <c r="E24" s="71" t="inlineStr">
        <is>
          <t>Damage, no motion</t>
        </is>
      </c>
      <c r="F24" s="76" t="n">
        <v>6</v>
      </c>
      <c r="G24" s="71" t="inlineStr">
        <is>
          <t>Field wiring; tuning on real motors</t>
        </is>
      </c>
      <c r="H24" s="76" t="n">
        <v>5</v>
      </c>
      <c r="I24" s="71" t="inlineStr">
        <is>
          <t>Integral motor-lab test Oct 5-7</t>
        </is>
      </c>
      <c r="J24" s="76" t="n">
        <v>4</v>
      </c>
      <c r="K24" s="71">
        <f>F24*H24*J24</f>
        <v/>
      </c>
      <c r="L24" s="77">
        <f>IF(OR(AND(F24&gt;=9,H24&gt;=4),AND(F24&gt;=7,H24&gt;=6),AND(F24&gt;=9,H24&gt;=2,J24&gt;=7)),"H",IF(OR(AND(F24&gt;=7,H24&gt;=4),AND(F24&gt;=5,H24&gt;=6),AND(F24&gt;=9,J24&gt;=5)),"M","L"))</f>
        <v/>
      </c>
      <c r="M24" s="71" t="inlineStr">
        <is>
          <t>Axle-by-axle creep test</t>
        </is>
      </c>
      <c r="N24" s="71" t="inlineStr">
        <is>
          <t>Integral</t>
        </is>
      </c>
      <c r="O24" s="71" t="inlineStr">
        <is>
          <t>H-12, H-16</t>
        </is>
      </c>
      <c r="P24" s="71" t="inlineStr">
        <is>
          <t>Each motor is checked one by one at walking speed first.</t>
        </is>
      </c>
      <c r="Q24" s="71" t="inlineStr">
        <is>
          <t>Open</t>
        </is>
      </c>
    </row>
    <row r="25" ht="23.25" customHeight="1" s="65">
      <c r="A25" s="71" t="inlineStr">
        <is>
          <t>F24</t>
        </is>
      </c>
      <c r="B25" s="71" t="inlineStr">
        <is>
          <t>Air brake / CCB2 + alerter</t>
        </is>
      </c>
      <c r="C25" s="71" t="inlineStr">
        <is>
          <t>Stop the train; alert crew</t>
        </is>
      </c>
      <c r="D25" s="71" t="inlineStr">
        <is>
          <t>Brake or alerter not integrated with new control</t>
        </is>
      </c>
      <c r="E25" s="71" t="inlineStr">
        <is>
          <t>Can't pass FRA tests; unsafe</t>
        </is>
      </c>
      <c r="F25" s="76" t="n">
        <v>9</v>
      </c>
      <c r="G25" s="71" t="inlineStr">
        <is>
          <t>New control system; LCC integration</t>
        </is>
      </c>
      <c r="H25" s="76" t="n">
        <v>4</v>
      </c>
      <c r="I25" s="71" t="inlineStr">
        <is>
          <t>Standard FRA tests</t>
        </is>
      </c>
      <c r="J25" s="76" t="n">
        <v>3</v>
      </c>
      <c r="K25" s="71">
        <f>F25*H25*J25</f>
        <v/>
      </c>
      <c r="L25" s="77">
        <f>IF(OR(AND(F25&gt;=9,H25&gt;=4),AND(F25&gt;=7,H25&gt;=6),AND(F25&gt;=9,H25&gt;=2,J25&gt;=7)),"H",IF(OR(AND(F25&gt;=7,H25&gt;=4),AND(F25&gt;=5,H25&gt;=6),AND(F25&gt;=9,J25&gt;=5)),"M","L"))</f>
        <v/>
      </c>
      <c r="M25" s="71" t="inlineStr">
        <is>
          <t>Run full brake tests at Huntington</t>
        </is>
      </c>
      <c r="N25" s="71" t="inlineStr">
        <is>
          <t>Dragan + Integral</t>
        </is>
      </c>
      <c r="O25" s="71" t="inlineStr">
        <is>
          <t>H-10, H-13</t>
        </is>
      </c>
      <c r="P25" s="71" t="inlineStr">
        <is>
          <t>Brakes and alerter must pass federal tests before any move.</t>
        </is>
      </c>
      <c r="Q25" s="71" t="inlineStr">
        <is>
          <t>Open</t>
        </is>
      </c>
    </row>
    <row r="26" ht="34.5" customHeight="1" s="65">
      <c r="A26" s="71" t="inlineStr">
        <is>
          <t>F25</t>
        </is>
      </c>
      <c r="B26" s="71" t="inlineStr">
        <is>
          <t>Dynamic brake (CSX yard ops)</t>
        </is>
      </c>
      <c r="C26" s="71" t="inlineStr">
        <is>
          <t>Control speed in switching service</t>
        </is>
      </c>
      <c r="D26" s="71" t="inlineStr">
        <is>
          <t>No dynamic brake</t>
        </is>
      </c>
      <c r="E26" s="71" t="inlineStr">
        <is>
          <t>More air-brake wear in yard use</t>
        </is>
      </c>
      <c r="F26" s="76" t="n">
        <v>5</v>
      </c>
      <c r="G26" s="71" t="inlineStr">
        <is>
          <t>HLR: no dynamic/regen braking; GP40-V spec asks for DB grids</t>
        </is>
      </c>
      <c r="H26" s="76" t="n">
        <v>3</v>
      </c>
      <c r="I26" s="71" t="inlineStr">
        <is>
          <t>Air brakes; low switcher speeds</t>
        </is>
      </c>
      <c r="J26" s="76" t="n">
        <v>3</v>
      </c>
      <c r="K26" s="71">
        <f>F26*H26*J26</f>
        <v/>
      </c>
      <c r="L26" s="77">
        <f>IF(OR(AND(F26&gt;=9,H26&gt;=4),AND(F26&gt;=7,H26&gt;=6),AND(F26&gt;=9,H26&gt;=2,J26&gt;=7)),"H",IF(OR(AND(F26&gt;=7,H26&gt;=4),AND(F26&gt;=5,H26&gt;=6),AND(F26&gt;=9,J26&gt;=5)),"M","L"))</f>
        <v/>
      </c>
      <c r="M26" s="71" t="inlineStr">
        <is>
          <t>Confirm CSX accepts air-only braking for Moncrief duty</t>
        </is>
      </c>
      <c r="N26" s="71" t="inlineStr">
        <is>
          <t>Daphna</t>
        </is>
      </c>
      <c r="O26" s="71" t="inlineStr">
        <is>
          <t>J-11</t>
        </is>
      </c>
      <c r="P26" s="71" t="inlineStr">
        <is>
          <t>No electric brake; acceptable at switcher speeds, to be confirmed with CSX. No longer a transport issue.</t>
        </is>
      </c>
      <c r="Q26" s="71" t="inlineStr">
        <is>
          <t>Open</t>
        </is>
      </c>
    </row>
    <row r="27" ht="45.75" customHeight="1" s="65">
      <c r="A27" s="71" t="inlineStr">
        <is>
          <t>F26</t>
        </is>
      </c>
      <c r="B27" s="71" t="inlineStr">
        <is>
          <t>Pack SOC for the tow</t>
        </is>
      </c>
      <c r="C27" s="71" t="inlineStr">
        <is>
          <t>Arrive safe and usable</t>
        </is>
      </c>
      <c r="D27" s="71" t="inlineStr">
        <is>
          <t>SOC outside the tow window</t>
        </is>
      </c>
      <c r="E27" s="71" t="inlineStr">
        <is>
          <t>Too high = more stored energy in an incident; too low = cannot run at JAX before charging infrastructure exists</t>
        </is>
      </c>
      <c r="F27" s="76" t="n">
        <v>6</v>
      </c>
      <c r="G27" s="71" t="inlineStr">
        <is>
          <t>No defined tow SOC; BMS off in transit</t>
        </is>
      </c>
      <c r="H27" s="76" t="n">
        <v>4</v>
      </c>
      <c r="I27" s="71" t="inlineStr">
        <is>
          <t>None defined</t>
        </is>
      </c>
      <c r="J27" s="76" t="n">
        <v>4</v>
      </c>
      <c r="K27" s="71">
        <f>F27*H27*J27</f>
        <v/>
      </c>
      <c r="L27" s="77">
        <f>IF(OR(AND(F27&gt;=9,H27&gt;=4),AND(F27&gt;=7,H27&gt;=6),AND(F27&gt;=9,H27&gt;=2,J27&gt;=7)),"H",IF(OR(AND(F27&gt;=7,H27&gt;=4),AND(F27&gt;=5,H27&gt;=6),AND(F27&gt;=9,J27&gt;=5)),"M","L"))</f>
        <v/>
      </c>
      <c r="M27" s="71" t="inlineStr">
        <is>
          <t>Set window (proposed 30-50%) with CSX hazmat; verify at H-24</t>
        </is>
      </c>
      <c r="N27" s="71" t="inlineStr">
        <is>
          <t>Bill</t>
        </is>
      </c>
      <c r="O27" s="71" t="inlineStr">
        <is>
          <t>H-24, J-01</t>
        </is>
      </c>
      <c r="P27" s="71" t="inlineStr">
        <is>
          <t>Battery charge for the tow should be moderate: safe to haul, enough to run on arrival.</t>
        </is>
      </c>
      <c r="Q27" s="71" t="inlineStr">
        <is>
          <t>Open</t>
        </is>
      </c>
    </row>
    <row r="28" ht="34.5" customHeight="1" s="65">
      <c r="A28" s="71" t="inlineStr">
        <is>
          <t>F27</t>
        </is>
      </c>
      <c r="B28" s="71" t="inlineStr">
        <is>
          <t>CSX dead-in-tow acceptance</t>
        </is>
      </c>
      <c r="C28" s="71" t="inlineStr">
        <is>
          <t>Allowed to move in a CSX train</t>
        </is>
      </c>
      <c r="D28" s="71" t="inlineStr">
        <is>
          <t>Not accepted in time</t>
        </is>
      </c>
      <c r="E28" s="71" t="inlineStr">
        <is>
          <t>Locomotive stuck at Huntington; schedule slip</t>
        </is>
      </c>
      <c r="F28" s="76" t="n">
        <v>7</v>
      </c>
      <c r="G28" s="71" t="inlineStr">
        <is>
          <t>229 inspection, brake test, battery paperwork, routing not arranged</t>
        </is>
      </c>
      <c r="H28" s="76" t="n">
        <v>5</v>
      </c>
      <c r="I28" s="71" t="inlineStr">
        <is>
          <t>None yet</t>
        </is>
      </c>
      <c r="J28" s="76" t="n">
        <v>3</v>
      </c>
      <c r="K28" s="71">
        <f>F28*H28*J28</f>
        <v/>
      </c>
      <c r="L28" s="77">
        <f>IF(OR(AND(F28&gt;=9,H28&gt;=4),AND(F28&gt;=7,H28&gt;=6),AND(F28&gt;=9,H28&gt;=2,J28&gt;=7)),"H",IF(OR(AND(F28&gt;=7,H28&gt;=4),AND(F28&gt;=5,H28&gt;=6),AND(F28&gt;=9,J28&gt;=5)),"M","L"))</f>
        <v/>
      </c>
      <c r="M28" s="71" t="inlineStr">
        <is>
          <t>Start CSX mechanical + hazmat engagement now; book carman for H-23</t>
        </is>
      </c>
      <c r="N28" s="71" t="inlineStr">
        <is>
          <t>Daphna / Dragan</t>
        </is>
      </c>
      <c r="O28" s="71" t="inlineStr">
        <is>
          <t>H-23</t>
        </is>
      </c>
      <c r="P28" s="71" t="inlineStr">
        <is>
          <t>CSX must accept the locomotive as a towed unit; not arranged yet, but simpler than running under its own power.</t>
        </is>
      </c>
      <c r="Q28" s="71" t="inlineStr">
        <is>
          <t>Open</t>
        </is>
      </c>
    </row>
    <row r="29" ht="23.25" customHeight="1" s="65">
      <c r="A29" s="71" t="inlineStr">
        <is>
          <t>F28</t>
        </is>
      </c>
      <c r="B29" s="71" t="inlineStr">
        <is>
          <t>Transport vibration</t>
        </is>
      </c>
      <c r="C29" s="71" t="inlineStr">
        <is>
          <t>Hold joints and packs</t>
        </is>
      </c>
      <c r="D29" s="71" t="inlineStr">
        <is>
          <t>Bolts loosen, connectors back out, packs shift</t>
        </is>
      </c>
      <c r="E29" s="71" t="inlineStr">
        <is>
          <t>Hot joints, arcing, open circuits</t>
        </is>
      </c>
      <c r="F29" s="76" t="n">
        <v>8</v>
      </c>
      <c r="G29" s="71" t="inlineStr">
        <is>
          <t>750-900 mi of vibration plus coupling impacts in yards</t>
        </is>
      </c>
      <c r="H29" s="76" t="n">
        <v>6</v>
      </c>
      <c r="I29" s="71" t="inlineStr">
        <is>
          <t>Torque spec; paint marks planned</t>
        </is>
      </c>
      <c r="J29" s="76" t="n">
        <v>5</v>
      </c>
      <c r="K29" s="71">
        <f>F29*H29*J29</f>
        <v/>
      </c>
      <c r="L29" s="77">
        <f>IF(OR(AND(F29&gt;=9,H29&gt;=4),AND(F29&gt;=7,H29&gt;=6),AND(F29&gt;=9,H29&gt;=2,J29&gt;=7)),"H",IF(OR(AND(F29&gt;=7,H29&gt;=4),AND(F29&gt;=5,H29&gt;=6),AND(F29&gt;=9,J29&gt;=5)),"M","L"))</f>
        <v/>
      </c>
      <c r="M29" s="71" t="inlineStr">
        <is>
          <t>Torque + mark; restrain packs; no-hump instruction; shock logger; re-check at J-01</t>
        </is>
      </c>
      <c r="N29" s="71" t="inlineStr">
        <is>
          <t>Production lead</t>
        </is>
      </c>
      <c r="O29" s="71" t="inlineStr">
        <is>
          <t>C-17, H-24, J-01</t>
        </is>
      </c>
      <c r="P29" s="71" t="inlineStr">
        <is>
          <t>Shaking and coupling bumps over the trip can loosen high-current joints and shift packs.</t>
        </is>
      </c>
      <c r="Q29" s="71" t="inlineStr">
        <is>
          <t>Open</t>
        </is>
      </c>
    </row>
    <row r="30" ht="23.25" customHeight="1" s="65">
      <c r="A30" s="71" t="inlineStr">
        <is>
          <t>F29</t>
        </is>
      </c>
      <c r="B30" s="71" t="inlineStr">
        <is>
          <t>Coolant system</t>
        </is>
      </c>
      <c r="C30" s="71" t="inlineStr">
        <is>
          <t>Cool battery and electronics</t>
        </is>
      </c>
      <c r="D30" s="71" t="inlineStr">
        <is>
          <t>Leak or wrong fill</t>
        </is>
      </c>
      <c r="E30" s="71" t="inlineStr">
        <is>
          <t>Pump dry run; shorts</t>
        </is>
      </c>
      <c r="F30" s="76" t="n">
        <v>7</v>
      </c>
      <c r="G30" s="71" t="inlineStr">
        <is>
          <t>New VOSS plumbing; PVC adapters near temp limit</t>
        </is>
      </c>
      <c r="H30" s="76" t="n">
        <v>4</v>
      </c>
      <c r="I30" s="71" t="inlineStr">
        <is>
          <t>G-48 50/50 spec chosen</t>
        </is>
      </c>
      <c r="J30" s="76" t="n">
        <v>5</v>
      </c>
      <c r="K30" s="71">
        <f>F30*H30*J30</f>
        <v/>
      </c>
      <c r="L30" s="77">
        <f>IF(OR(AND(F30&gt;=9,H30&gt;=4),AND(F30&gt;=7,H30&gt;=6),AND(F30&gt;=9,H30&gt;=2,J30&gt;=7)),"H",IF(OR(AND(F30&gt;=7,H30&gt;=4),AND(F30&gt;=5,H30&gt;=6),AND(F30&gt;=9,J30&gt;=5)),"M","L"))</f>
        <v/>
      </c>
      <c r="M30" s="71" t="inlineStr">
        <is>
          <t>Pressure test; use stainless adapters</t>
        </is>
      </c>
      <c r="N30" s="71" t="inlineStr">
        <is>
          <t>VJ / Jack</t>
        </is>
      </c>
      <c r="O30" s="71" t="inlineStr">
        <is>
          <t>C-11, C-12, J-01</t>
        </is>
      </c>
      <c r="P30" s="71" t="inlineStr">
        <is>
          <t>Coolant leaks near high voltage are both a thermal and an electrical risk.</t>
        </is>
      </c>
      <c r="Q30" s="71" t="inlineStr">
        <is>
          <t>Open</t>
        </is>
      </c>
    </row>
    <row r="31" ht="23.25" customHeight="1" s="65">
      <c r="A31" s="71" t="inlineStr">
        <is>
          <t>F30</t>
        </is>
      </c>
      <c r="B31" s="71" t="inlineStr">
        <is>
          <t>PE cooling balance</t>
        </is>
      </c>
      <c r="C31" s="71" t="inlineStr">
        <is>
          <t>Cool choppers and ITV</t>
        </is>
      </c>
      <c r="D31" s="71" t="inlineStr">
        <is>
          <t>Too little flow to one branch</t>
        </is>
      </c>
      <c r="E31" s="71" t="inlineStr">
        <is>
          <t>ITV or chopper derate</t>
        </is>
      </c>
      <c r="F31" s="76" t="n">
        <v>6</v>
      </c>
      <c r="G31" s="71" t="inlineStr">
        <is>
          <t>Shared loop; branch balance</t>
        </is>
      </c>
      <c r="H31" s="76" t="n">
        <v>4</v>
      </c>
      <c r="I31" s="71" t="inlineStr">
        <is>
          <t>VJ re-routing proposal</t>
        </is>
      </c>
      <c r="J31" s="76" t="n">
        <v>5</v>
      </c>
      <c r="K31" s="71">
        <f>F31*H31*J31</f>
        <v/>
      </c>
      <c r="L31" s="77">
        <f>IF(OR(AND(F31&gt;=9,H31&gt;=4),AND(F31&gt;=7,H31&gt;=6),AND(F31&gt;=9,H31&gt;=2,J31&gt;=7)),"H",IF(OR(AND(F31&gt;=7,H31&gt;=4),AND(F31&gt;=5,H31&gt;=6),AND(F31&gt;=9,J31&gt;=5)),"M","L"))</f>
        <v/>
      </c>
      <c r="M31" s="71" t="inlineStr">
        <is>
          <t>Measure branch flows</t>
        </is>
      </c>
      <c r="N31" s="71" t="inlineStr">
        <is>
          <t>VJ</t>
        </is>
      </c>
      <c r="O31" s="71" t="inlineStr">
        <is>
          <t>C-12, H-15</t>
        </is>
      </c>
      <c r="P31" s="71" t="inlineStr">
        <is>
          <t>Cooling flow must be split evenly between charger and choppers.</t>
        </is>
      </c>
      <c r="Q31" s="71" t="inlineStr">
        <is>
          <t>Open</t>
        </is>
      </c>
    </row>
    <row r="32" ht="23.25" customHeight="1" s="65">
      <c r="A32" s="71" t="inlineStr">
        <is>
          <t>F31</t>
        </is>
      </c>
      <c r="B32" s="71" t="inlineStr">
        <is>
          <t>24 V PDMs / breaker panels</t>
        </is>
      </c>
      <c r="C32" s="71" t="inlineStr">
        <is>
          <t>Power controllers</t>
        </is>
      </c>
      <c r="D32" s="71" t="inlineStr">
        <is>
          <t>Wrong channel or trip</t>
        </is>
      </c>
      <c r="E32" s="71" t="inlineStr">
        <is>
          <t>Controller dark; contactors drop</t>
        </is>
      </c>
      <c r="F32" s="76" t="n">
        <v>6</v>
      </c>
      <c r="G32" s="71" t="inlineStr">
        <is>
          <t>New PDM topology (10/6)</t>
        </is>
      </c>
      <c r="H32" s="76" t="n">
        <v>5</v>
      </c>
      <c r="I32" s="71" t="inlineStr">
        <is>
          <t>Bench test of PDMs</t>
        </is>
      </c>
      <c r="J32" s="76" t="n">
        <v>4</v>
      </c>
      <c r="K32" s="71">
        <f>F32*H32*J32</f>
        <v/>
      </c>
      <c r="L32" s="77">
        <f>IF(OR(AND(F32&gt;=9,H32&gt;=4),AND(F32&gt;=7,H32&gt;=6),AND(F32&gt;=9,H32&gt;=2,J32&gt;=7)),"H",IF(OR(AND(F32&gt;=7,H32&gt;=4),AND(F32&gt;=5,H32&gt;=6),AND(F32&gt;=9,J32&gt;=5)),"M","L"))</f>
        <v/>
      </c>
      <c r="M32" s="71" t="inlineStr">
        <is>
          <t>Channel map test at power-up</t>
        </is>
      </c>
      <c r="N32" s="71" t="inlineStr">
        <is>
          <t>Mitchell</t>
        </is>
      </c>
      <c r="O32" s="71" t="inlineStr">
        <is>
          <t>H-02, H-03</t>
        </is>
      </c>
      <c r="P32" s="71" t="inlineStr">
        <is>
          <t>Low-voltage power boxes were re-laid-out this week; we check every channel.</t>
        </is>
      </c>
      <c r="Q32" s="71" t="inlineStr">
        <is>
          <t>Open</t>
        </is>
      </c>
    </row>
    <row r="33" ht="23.25" customHeight="1" s="65">
      <c r="A33" s="71" t="inlineStr">
        <is>
          <t>F32</t>
        </is>
      </c>
      <c r="B33" s="71" t="inlineStr">
        <is>
          <t>E-Stop line as enable</t>
        </is>
      </c>
      <c r="C33" s="71" t="inlineStr">
        <is>
          <t>Allow operation</t>
        </is>
      </c>
      <c r="D33" s="71" t="inlineStr">
        <is>
          <t>Single wire break stops loco</t>
        </is>
      </c>
      <c r="E33" s="71" t="inlineStr">
        <is>
          <t>Nuisance stop (fail-safe)</t>
        </is>
      </c>
      <c r="F33" s="76" t="n">
        <v>4</v>
      </c>
      <c r="G33" s="71" t="inlineStr">
        <is>
          <t>72 V enable loop length</t>
        </is>
      </c>
      <c r="H33" s="76" t="n">
        <v>5</v>
      </c>
      <c r="I33" s="71" t="inlineStr">
        <is>
          <t>Fail-safe design</t>
        </is>
      </c>
      <c r="J33" s="76" t="n">
        <v>3</v>
      </c>
      <c r="K33" s="71">
        <f>F33*H33*J33</f>
        <v/>
      </c>
      <c r="L33" s="77">
        <f>IF(OR(AND(F33&gt;=9,H33&gt;=4),AND(F33&gt;=7,H33&gt;=6),AND(F33&gt;=9,H33&gt;=2,J33&gt;=7)),"H",IF(OR(AND(F33&gt;=7,H33&gt;=4),AND(F33&gt;=5,H33&gt;=6),AND(F33&gt;=9,J33&gt;=5)),"M","L"))</f>
        <v/>
      </c>
      <c r="M33" s="71" t="inlineStr">
        <is>
          <t>Loop integrity check in daily checklist</t>
        </is>
      </c>
      <c r="N33" s="71" t="inlineStr">
        <is>
          <t>Mitchell</t>
        </is>
      </c>
      <c r="O33" s="71" t="inlineStr">
        <is>
          <t>H-03</t>
        </is>
      </c>
      <c r="P33" s="71" t="inlineStr">
        <is>
          <t>A broken wire stops the loco safely; it is an availability issue, not safety.</t>
        </is>
      </c>
      <c r="Q33" s="71" t="inlineStr">
        <is>
          <t>Open</t>
        </is>
      </c>
    </row>
    <row r="34" ht="23.25" customHeight="1" s="65">
      <c r="A34" s="71" t="inlineStr">
        <is>
          <t>F33</t>
        </is>
      </c>
      <c r="B34" s="71" t="inlineStr">
        <is>
          <t>Remote access</t>
        </is>
      </c>
      <c r="C34" s="71" t="inlineStr">
        <is>
          <t>Monitor remotely</t>
        </is>
      </c>
      <c r="D34" s="71" t="inlineStr">
        <is>
          <t>Unauthorized command via VPN/Starlink</t>
        </is>
      </c>
      <c r="E34" s="71" t="inlineStr">
        <is>
          <t>Unsafe command</t>
        </is>
      </c>
      <c r="F34" s="76" t="n">
        <v>8</v>
      </c>
      <c r="G34" s="71" t="inlineStr">
        <is>
          <t>Remote access to VMS</t>
        </is>
      </c>
      <c r="H34" s="76" t="n">
        <v>2</v>
      </c>
      <c r="I34" s="71" t="inlineStr">
        <is>
          <t>VPN, credentials</t>
        </is>
      </c>
      <c r="J34" s="76" t="n">
        <v>6</v>
      </c>
      <c r="K34" s="71">
        <f>F34*H34*J34</f>
        <v/>
      </c>
      <c r="L34" s="77">
        <f>IF(OR(AND(F34&gt;=9,H34&gt;=4),AND(F34&gt;=7,H34&gt;=6),AND(F34&gt;=9,H34&gt;=2,J34&gt;=7)),"H",IF(OR(AND(F34&gt;=7,H34&gt;=4),AND(F34&gt;=5,H34&gt;=6),AND(F34&gt;=9,J34&gt;=5)),"M","L"))</f>
        <v/>
      </c>
      <c r="M34" s="71" t="inlineStr">
        <is>
          <t>Read-only remote mode during transport and demo</t>
        </is>
      </c>
      <c r="N34" s="71" t="inlineStr">
        <is>
          <t>Matan</t>
        </is>
      </c>
      <c r="O34" s="71" t="inlineStr">
        <is>
          <t>T-01</t>
        </is>
      </c>
      <c r="P34" s="71" t="inlineStr">
        <is>
          <t>Remote connections should be read-only while the loco moves.</t>
        </is>
      </c>
      <c r="Q34" s="71" t="inlineStr">
        <is>
          <t>Open</t>
        </is>
      </c>
    </row>
    <row r="35" ht="23.25" customHeight="1" s="65">
      <c r="A35" s="71" t="inlineStr">
        <is>
          <t>F34</t>
        </is>
      </c>
      <c r="B35" s="71" t="inlineStr">
        <is>
          <t>People single points</t>
        </is>
      </c>
      <c r="C35" s="71" t="inlineStr">
        <is>
          <t>Keep bring-up moving</t>
        </is>
      </c>
      <c r="D35" s="71" t="inlineStr">
        <is>
          <t>Key engineer unavailable</t>
        </is>
      </c>
      <c r="E35" s="71" t="inlineStr">
        <is>
          <t>Stalled bring-up</t>
        </is>
      </c>
      <c r="F35" s="76" t="n">
        <v>7</v>
      </c>
      <c r="G35" s="71" t="inlineStr">
        <is>
          <t>Micah (firmware), Yoni (simulator) leave in crunch</t>
        </is>
      </c>
      <c r="H35" s="76" t="n">
        <v>7</v>
      </c>
      <c r="I35" s="71" t="inlineStr">
        <is>
          <t>Documentation push</t>
        </is>
      </c>
      <c r="J35" s="76" t="n">
        <v>2</v>
      </c>
      <c r="K35" s="71">
        <f>F35*H35*J35</f>
        <v/>
      </c>
      <c r="L35" s="77">
        <f>IF(OR(AND(F35&gt;=9,H35&gt;=4),AND(F35&gt;=7,H35&gt;=6),AND(F35&gt;=9,H35&gt;=2,J35&gt;=7)),"H",IF(OR(AND(F35&gt;=7,H35&gt;=4),AND(F35&gt;=5,H35&gt;=6),AND(F35&gt;=9,J35&gt;=5)),"M","L"))</f>
        <v/>
      </c>
      <c r="M35" s="71" t="inlineStr">
        <is>
          <t>Pair a backup on each; document daily</t>
        </is>
      </c>
      <c r="N35" s="71" t="inlineStr">
        <is>
          <t>Bill</t>
        </is>
      </c>
      <c r="O35" s="71" t="inlineStr">
        <is>
          <t>all</t>
        </is>
      </c>
      <c r="P35" s="71" t="inlineStr">
        <is>
          <t>Some critical knowledge sits with one person.</t>
        </is>
      </c>
      <c r="Q35" s="71" t="inlineStr">
        <is>
          <t>Open</t>
        </is>
      </c>
    </row>
    <row r="36" ht="23.25" customHeight="1" s="65">
      <c r="A36" s="71" t="inlineStr">
        <is>
          <t>F35</t>
        </is>
      </c>
      <c r="B36" s="71" t="inlineStr">
        <is>
          <t>BTMS power supplies</t>
        </is>
      </c>
      <c r="C36" s="71" t="inlineStr">
        <is>
          <t>Feed cooling skid</t>
        </is>
      </c>
      <c r="D36" s="71" t="inlineStr">
        <is>
          <t>Supply undersized vs loads</t>
        </is>
      </c>
      <c r="E36" s="71" t="inlineStr">
        <is>
          <t>Cooling skid brown-out</t>
        </is>
      </c>
      <c r="F36" s="76" t="n">
        <v>5</v>
      </c>
      <c r="G36" s="71" t="inlineStr">
        <is>
          <t>Arch doc 12V 3.25 kW vs deck 6 kW 12V + 7 kW 24V</t>
        </is>
      </c>
      <c r="H36" s="76" t="n">
        <v>4</v>
      </c>
      <c r="I36" s="71" t="inlineStr">
        <is>
          <t>Deck values newer</t>
        </is>
      </c>
      <c r="J36" s="76" t="n">
        <v>4</v>
      </c>
      <c r="K36" s="71">
        <f>F36*H36*J36</f>
        <v/>
      </c>
      <c r="L36" s="77">
        <f>IF(OR(AND(F36&gt;=9,H36&gt;=4),AND(F36&gt;=7,H36&gt;=6),AND(F36&gt;=9,H36&gt;=2,J36&gt;=7)),"H",IF(OR(AND(F36&gt;=7,H36&gt;=4),AND(F36&gt;=5,H36&gt;=6),AND(F36&gt;=9,J36&gt;=5)),"M","L"))</f>
        <v/>
      </c>
      <c r="M36" s="71" t="inlineStr">
        <is>
          <t>Reconcile in power budget</t>
        </is>
      </c>
      <c r="N36" s="71" t="inlineStr">
        <is>
          <t>Jack</t>
        </is>
      </c>
      <c r="O36" s="71" t="inlineStr">
        <is>
          <t>C-11</t>
        </is>
      </c>
      <c r="P36" s="71" t="inlineStr">
        <is>
          <t>Two documents disagree on cooling power supply sizes.</t>
        </is>
      </c>
      <c r="Q36" s="71" t="inlineStr">
        <is>
          <t>Open</t>
        </is>
      </c>
    </row>
    <row r="37" ht="23.25" customHeight="1" s="65">
      <c r="A37" s="71" t="inlineStr">
        <is>
          <t>F36</t>
        </is>
      </c>
      <c r="B37" s="71" t="inlineStr">
        <is>
          <t>Shop charging at Huntington</t>
        </is>
      </c>
      <c r="C37" s="71" t="inlineStr">
        <is>
          <t>Recharge pack</t>
        </is>
      </c>
      <c r="D37" s="71" t="inlineStr">
        <is>
          <t>Supply connected around protections</t>
        </is>
      </c>
      <c r="E37" s="71" t="inlineStr">
        <is>
          <t>Over-charge, shock</t>
        </is>
      </c>
      <c r="F37" s="76" t="n">
        <v>9</v>
      </c>
      <c r="G37" s="71" t="inlineStr">
        <is>
          <t>No defined entry point; MCS controller not developed</t>
        </is>
      </c>
      <c r="H37" s="76" t="n">
        <v>4</v>
      </c>
      <c r="I37" s="71" t="inlineStr">
        <is>
          <t>None defined</t>
        </is>
      </c>
      <c r="J37" s="76" t="n">
        <v>5</v>
      </c>
      <c r="K37" s="71">
        <f>F37*H37*J37</f>
        <v/>
      </c>
      <c r="L37" s="77">
        <f>IF(OR(AND(F37&gt;=9,H37&gt;=4),AND(F37&gt;=7,H37&gt;=6),AND(F37&gt;=9,H37&gt;=2,J37&gt;=7)),"H",IF(OR(AND(F37&gt;=7,H37&gt;=4),AND(F37&gt;=5,H37&gt;=6),AND(F37&gt;=9,J37&gt;=5)),"M","L"))</f>
        <v/>
      </c>
      <c r="M37" s="71" t="inlineStr">
        <is>
          <t>Write a charging procedure and entry point before first use</t>
        </is>
      </c>
      <c r="N37" s="71" t="inlineStr">
        <is>
          <t>Mitchell</t>
        </is>
      </c>
      <c r="O37" s="71" t="inlineStr">
        <is>
          <t>H-18</t>
        </is>
      </c>
      <c r="P37" s="71" t="inlineStr">
        <is>
          <t>How the shop charger plugs in is not defined yet.</t>
        </is>
      </c>
      <c r="Q37" s="71" t="inlineStr">
        <is>
          <t>Open</t>
        </is>
      </c>
    </row>
    <row r="38" ht="23.25" customHeight="1" s="65">
      <c r="A38" s="71" t="inlineStr">
        <is>
          <t>F37</t>
        </is>
      </c>
      <c r="B38" s="71" t="inlineStr">
        <is>
          <t>Contactor feedback</t>
        </is>
      </c>
      <c r="C38" s="71" t="inlineStr">
        <is>
          <t>Report true contactor state</t>
        </is>
      </c>
      <c r="D38" s="71" t="inlineStr">
        <is>
          <t>Welded contactor reported open</t>
        </is>
      </c>
      <c r="E38" s="71" t="inlineStr">
        <is>
          <t>HV present when believed off</t>
        </is>
      </c>
      <c r="F38" s="76" t="n">
        <v>10</v>
      </c>
      <c r="G38" s="71" t="inlineStr">
        <is>
          <t>Aux contact failure</t>
        </is>
      </c>
      <c r="H38" s="76" t="n">
        <v>3</v>
      </c>
      <c r="I38" s="71" t="inlineStr">
        <is>
          <t>RTV checks voltage before grounding</t>
        </is>
      </c>
      <c r="J38" s="76" t="n">
        <v>4</v>
      </c>
      <c r="K38" s="71">
        <f>F38*H38*J38</f>
        <v/>
      </c>
      <c r="L38" s="77">
        <f>IF(OR(AND(F38&gt;=9,H38&gt;=4),AND(F38&gt;=7,H38&gt;=6),AND(F38&gt;=9,H38&gt;=2,J38&gt;=7)),"H",IF(OR(AND(F38&gt;=7,H38&gt;=4),AND(F38&gt;=5,H38&gt;=6),AND(F38&gt;=9,J38&gt;=5)),"M","L"))</f>
        <v/>
      </c>
      <c r="M38" s="71" t="inlineStr">
        <is>
          <t>Cross-check aux vs HV sense every open command</t>
        </is>
      </c>
      <c r="N38" s="71" t="inlineStr">
        <is>
          <t>Micah</t>
        </is>
      </c>
      <c r="O38" s="71" t="inlineStr">
        <is>
          <t>C-06, C-14, H-09</t>
        </is>
      </c>
      <c r="P38" s="71" t="inlineStr">
        <is>
          <t>A stuck switch could look open on screen; voltage sensors double-check.</t>
        </is>
      </c>
      <c r="Q38" s="71" t="inlineStr">
        <is>
          <t>Open</t>
        </is>
      </c>
    </row>
    <row r="39" ht="45.75" customHeight="1" s="65">
      <c r="A39" s="71" t="inlineStr">
        <is>
          <t>F38</t>
        </is>
      </c>
      <c r="B39" s="71" t="inlineStr">
        <is>
          <t>Traction motors in tow</t>
        </is>
      </c>
      <c r="C39" s="71" t="inlineStr">
        <is>
          <t>Stay electrically dead while wheels turn</t>
        </is>
      </c>
      <c r="D39" s="71" t="inlineStr">
        <is>
          <t>Motors generate voltage as the wheels turn</t>
        </is>
      </c>
      <c r="E39" s="71" t="inlineStr">
        <is>
          <t>Voltage on chopper/DC-link with control off; arcing; shock risk to responders</t>
        </is>
      </c>
      <c r="F39" s="76" t="n">
        <v>9</v>
      </c>
      <c r="G39" s="71" t="inlineStr">
        <is>
          <t>Residual field magnetism; MCO/reverser state unknown with LCC unpowered; manual TM cutout switches removed per spec</t>
        </is>
      </c>
      <c r="H39" s="76" t="n">
        <v>4</v>
      </c>
      <c r="I39" s="71" t="inlineStr">
        <is>
          <t>None defined</t>
        </is>
      </c>
      <c r="J39" s="76" t="n">
        <v>5</v>
      </c>
      <c r="K39" s="71">
        <f>F39*H39*J39</f>
        <v/>
      </c>
      <c r="L39" s="77">
        <f>IF(OR(AND(F39&gt;=9,H39&gt;=4),AND(F39&gt;=7,H39&gt;=6),AND(F39&gt;=9,H39&gt;=2,J39&gt;=7)),"H",IF(OR(AND(F39&gt;=7,H39&gt;=4),AND(F39&gt;=5,H39&gt;=6),AND(F39&gt;=9,J39&gt;=5)),"M","L"))</f>
        <v/>
      </c>
      <c r="M39" s="71" t="inlineStr">
        <is>
          <t>Define motor isolation with control off (MCO open / reverser centered / leads lifted); verify by test H-25</t>
        </is>
      </c>
      <c r="N39" s="71" t="inlineStr">
        <is>
          <t>Integral + Mitchell</t>
        </is>
      </c>
      <c r="O39" s="71" t="inlineStr">
        <is>
          <t>H-25</t>
        </is>
      </c>
      <c r="P39" s="71" t="inlineStr">
        <is>
          <t>Towed motors can act as generators; we must prove they are disconnected.</t>
        </is>
      </c>
      <c r="Q39" s="71" t="inlineStr">
        <is>
          <t>Open</t>
        </is>
      </c>
    </row>
    <row r="40" ht="23.25" customHeight="1" s="65">
      <c r="A40" s="71" t="inlineStr">
        <is>
          <t>F39</t>
        </is>
      </c>
      <c r="B40" s="71" t="inlineStr">
        <is>
          <t>MU trainlines</t>
        </is>
      </c>
      <c r="C40" s="71" t="inlineStr">
        <is>
          <t>Ignore lead-unit commands while dead</t>
        </is>
      </c>
      <c r="D40" s="71" t="inlineStr">
        <is>
          <t>Prototype responds to MU trainline signals</t>
        </is>
      </c>
      <c r="E40" s="71" t="inlineStr">
        <is>
          <t>Unexpected contactor or inverter action in train</t>
        </is>
      </c>
      <c r="F40" s="76" t="n">
        <v>7</v>
      </c>
      <c r="G40" s="71" t="inlineStr">
        <is>
          <t>New control system wired to MU receptacles</t>
        </is>
      </c>
      <c r="H40" s="76" t="n">
        <v>3</v>
      </c>
      <c r="I40" s="71" t="inlineStr">
        <is>
          <t>Isolation switch in ISOLATE</t>
        </is>
      </c>
      <c r="J40" s="76" t="n">
        <v>5</v>
      </c>
      <c r="K40" s="71">
        <f>F40*H40*J40</f>
        <v/>
      </c>
      <c r="L40" s="77">
        <f>IF(OR(AND(F40&gt;=9,H40&gt;=4),AND(F40&gt;=7,H40&gt;=6),AND(F40&gt;=9,H40&gt;=2,J40&gt;=7)),"H",IF(OR(AND(F40&gt;=7,H40&gt;=4),AND(F40&gt;=5,H40&gt;=6),AND(F40&gt;=9,J40&gt;=5)),"M","L"))</f>
        <v/>
      </c>
      <c r="M40" s="71" t="inlineStr">
        <is>
          <t>Isolate MU receptacles or prove LCC ignores trainlines (H-27)</t>
        </is>
      </c>
      <c r="N40" s="71" t="inlineStr">
        <is>
          <t>Integral</t>
        </is>
      </c>
      <c r="O40" s="71" t="inlineStr">
        <is>
          <t>H-27</t>
        </is>
      </c>
      <c r="P40" s="71" t="inlineStr">
        <is>
          <t>Commands from the lead locomotive must not reach the prototype's systems.</t>
        </is>
      </c>
      <c r="Q40" s="71" t="inlineStr">
        <is>
          <t>Open</t>
        </is>
      </c>
    </row>
    <row r="41" ht="23.25" customHeight="1" s="65">
      <c r="A41" s="71" t="inlineStr">
        <is>
          <t>F40</t>
        </is>
      </c>
      <c r="B41" s="71" t="inlineStr">
        <is>
          <t>Dead-engine air brake</t>
        </is>
      </c>
      <c r="C41" s="71" t="inlineStr">
        <is>
          <t>Brake with the train while towed</t>
        </is>
      </c>
      <c r="D41" s="71" t="inlineStr">
        <is>
          <t>Dead-engine setup wrong</t>
        </is>
      </c>
      <c r="E41" s="71" t="inlineStr">
        <is>
          <t>No brakes on the loco, or brakes dragging (wheel overheating)</t>
        </is>
      </c>
      <c r="F41" s="76" t="n">
        <v>9</v>
      </c>
      <c r="G41" s="71" t="inlineStr">
        <is>
          <t>New CCB2 install; DIT setup not practiced</t>
        </is>
      </c>
      <c r="H41" s="76" t="n">
        <v>4</v>
      </c>
      <c r="I41" s="71" t="inlineStr">
        <is>
          <t>Class I brake test before departure</t>
        </is>
      </c>
      <c r="J41" s="76" t="n">
        <v>4</v>
      </c>
      <c r="K41" s="71">
        <f>F41*H41*J41</f>
        <v/>
      </c>
      <c r="L41" s="77">
        <f>IF(OR(AND(F41&gt;=9,H41&gt;=4),AND(F41&gt;=7,H41&gt;=6),AND(F41&gt;=9,H41&gt;=2,J41&gt;=7)),"H",IF(OR(AND(F41&gt;=7,H41&gt;=4),AND(F41&gt;=5,H41&gt;=6),AND(F41&gt;=9,J41&gt;=5)),"M","L"))</f>
        <v/>
      </c>
      <c r="M41" s="71" t="inlineStr">
        <is>
          <t>Follow NYAB DIT procedure; test H-20 before CSX inspection</t>
        </is>
      </c>
      <c r="N41" s="71" t="inlineStr">
        <is>
          <t>Dragan</t>
        </is>
      </c>
      <c r="O41" s="71" t="inlineStr">
        <is>
          <t>H-20, H-23</t>
        </is>
      </c>
      <c r="P41" s="71" t="inlineStr">
        <is>
          <t>The locomotive's air brakes must work from behind another engine.</t>
        </is>
      </c>
      <c r="Q41" s="71" t="inlineStr">
        <is>
          <t>Open</t>
        </is>
      </c>
    </row>
    <row r="42" ht="23.25" customHeight="1" s="65">
      <c r="A42" s="71" t="inlineStr">
        <is>
          <t>F41</t>
        </is>
      </c>
      <c r="B42" s="71" t="inlineStr">
        <is>
          <t>Bearings and gear lube</t>
        </is>
      </c>
      <c r="C42" s="71" t="inlineStr">
        <is>
          <t>Turn freely for 750-900 mi</t>
        </is>
      </c>
      <c r="D42" s="71" t="inlineStr">
        <is>
          <t>Hot journal or suspension bearing</t>
        </is>
      </c>
      <c r="E42" s="71" t="inlineStr">
        <is>
          <t>Bearing seizure; train stop</t>
        </is>
      </c>
      <c r="F42" s="76" t="n">
        <v>9</v>
      </c>
      <c r="G42" s="71" t="inlineStr">
        <is>
          <t>Rebuilt trucks; long idle; lube not refilled</t>
        </is>
      </c>
      <c r="H42" s="76" t="n">
        <v>3</v>
      </c>
      <c r="I42" s="71" t="inlineStr">
        <is>
          <t>Wayside hot-box detectors on CSX</t>
        </is>
      </c>
      <c r="J42" s="76" t="n">
        <v>4</v>
      </c>
      <c r="K42" s="71">
        <f>F42*H42*J42</f>
        <v/>
      </c>
      <c r="L42" s="77">
        <f>IF(OR(AND(F42&gt;=9,H42&gt;=4),AND(F42&gt;=7,H42&gt;=6),AND(F42&gt;=9,H42&gt;=2,J42&gt;=7)),"H",IF(OR(AND(F42&gt;=7,H42&gt;=4),AND(F42&gt;=5,H42&gt;=6),AND(F42&gt;=9,J42&gt;=5)),"M","L"))</f>
        <v/>
      </c>
      <c r="M42" s="71" t="inlineStr">
        <is>
          <t>Fill and record lube; inspect bearings (H-26)</t>
        </is>
      </c>
      <c r="N42" s="71" t="inlineStr">
        <is>
          <t>Dragan</t>
        </is>
      </c>
      <c r="O42" s="71" t="inlineStr">
        <is>
          <t>H-26</t>
        </is>
      </c>
      <c r="P42" s="71" t="inlineStr">
        <is>
          <t>Wheel and motor bearings must be lubricated before a long tow.</t>
        </is>
      </c>
      <c r="Q42" s="71" t="inlineStr">
        <is>
          <t>Open</t>
        </is>
      </c>
    </row>
    <row r="43" ht="23.25" customHeight="1" s="65">
      <c r="A43" s="71" t="inlineStr">
        <is>
          <t>F42</t>
        </is>
      </c>
      <c r="B43" s="71" t="inlineStr">
        <is>
          <t>Pantographs in tow</t>
        </is>
      </c>
      <c r="C43" s="71" t="inlineStr">
        <is>
          <t>Stay down and attached</t>
        </is>
      </c>
      <c r="D43" s="71" t="inlineStr">
        <is>
          <t>Pantograph lifts or a part detaches</t>
        </is>
      </c>
      <c r="E43" s="71" t="inlineStr">
        <is>
          <t>Strike on structures or wires</t>
        </is>
      </c>
      <c r="F43" s="76" t="n">
        <v>9</v>
      </c>
      <c r="G43" s="71" t="inlineStr">
        <is>
          <t>Actuator spring/air; loose hardware</t>
        </is>
      </c>
      <c r="H43" s="76" t="n">
        <v>2</v>
      </c>
      <c r="I43" s="71" t="inlineStr">
        <is>
          <t>Folded; Plate M check</t>
        </is>
      </c>
      <c r="J43" s="76" t="n">
        <v>4</v>
      </c>
      <c r="K43" s="71">
        <f>F43*H43*J43</f>
        <v/>
      </c>
      <c r="L43" s="77">
        <f>IF(OR(AND(F43&gt;=9,H43&gt;=4),AND(F43&gt;=7,H43&gt;=6),AND(F43&gt;=9,H43&gt;=2,J43&gt;=7)),"H",IF(OR(AND(F43&gt;=7,H43&gt;=4),AND(F43&gt;=5,H43&gt;=6),AND(F43&gt;=9,J43&gt;=5)),"M","L"))</f>
        <v/>
      </c>
      <c r="M43" s="71" t="inlineStr">
        <is>
          <t>Mechanical lock or tow without pantos fitted (H-22)</t>
        </is>
      </c>
      <c r="N43" s="71" t="inlineStr">
        <is>
          <t>Dave</t>
        </is>
      </c>
      <c r="O43" s="71" t="inlineStr">
        <is>
          <t>H-22</t>
        </is>
      </c>
      <c r="P43" s="71" t="inlineStr">
        <is>
          <t>Pantographs must be locked down or not fitted for the tow.</t>
        </is>
      </c>
      <c r="Q43" s="71" t="inlineStr">
        <is>
          <t>Open</t>
        </is>
      </c>
    </row>
    <row r="44" ht="23.25" customHeight="1" s="65">
      <c r="A44" s="71" t="inlineStr">
        <is>
          <t>F43</t>
        </is>
      </c>
      <c r="B44" s="71" t="inlineStr">
        <is>
          <t>Emergency response in transit</t>
        </is>
      </c>
      <c r="C44" s="71" t="inlineStr">
        <is>
          <t>Responders act safely</t>
        </is>
      </c>
      <c r="D44" s="71" t="inlineStr">
        <is>
          <t>Responders unaware of an energized Li-ion pack</t>
        </is>
      </c>
      <c r="E44" s="71" t="inlineStr">
        <is>
          <t>Unsafe response to an incident</t>
        </is>
      </c>
      <c r="F44" s="76" t="n">
        <v>9</v>
      </c>
      <c r="G44" s="71" t="inlineStr">
        <is>
          <t>Prototype not in any CSX hazmat profile</t>
        </is>
      </c>
      <c r="H44" s="76" t="n">
        <v>3</v>
      </c>
      <c r="I44" s="71" t="inlineStr">
        <is>
          <t>None defined</t>
        </is>
      </c>
      <c r="J44" s="76" t="n">
        <v>5</v>
      </c>
      <c r="K44" s="71">
        <f>F44*H44*J44</f>
        <v/>
      </c>
      <c r="L44" s="77">
        <f>IF(OR(AND(F44&gt;=9,H44&gt;=4),AND(F44&gt;=7,H44&gt;=6),AND(F44&gt;=9,H44&gt;=2,J44&gt;=7)),"H",IF(OR(AND(F44&gt;=7,H44&gt;=4),AND(F44&gt;=5,H44&gt;=6),AND(F44&gt;=9,J44&gt;=5)),"M","L"))</f>
        <v/>
      </c>
      <c r="M44" s="71" t="inlineStr">
        <is>
          <t>Emergency response sheet, placards, 24/7 contact; CSX hazmat review (H-28)</t>
        </is>
      </c>
      <c r="N44" s="71" t="inlineStr">
        <is>
          <t>Bill</t>
        </is>
      </c>
      <c r="O44" s="71" t="inlineStr">
        <is>
          <t>H-28</t>
        </is>
      </c>
      <c r="P44" s="71" t="inlineStr">
        <is>
          <t>Railroad responders need clear battery and HV information on board.</t>
        </is>
      </c>
      <c r="Q44" s="71" t="inlineStr">
        <is>
          <t>Open</t>
        </is>
      </c>
    </row>
    <row r="45" ht="34.5" customHeight="1" s="65">
      <c r="A45" s="71" t="inlineStr">
        <is>
          <t>F44</t>
        </is>
      </c>
      <c r="B45" s="71" t="inlineStr">
        <is>
          <t>Thermal event in transit</t>
        </is>
      </c>
      <c r="C45" s="71" t="inlineStr">
        <is>
          <t>Detect a pack problem</t>
        </is>
      </c>
      <c r="D45" s="71" t="inlineStr">
        <is>
          <t>Cell overheating not noticed</t>
        </is>
      </c>
      <c r="E45" s="71" t="inlineStr">
        <is>
          <t>Fire spreads before detection</t>
        </is>
      </c>
      <c r="F45" s="76" t="n">
        <v>10</v>
      </c>
      <c r="G45" s="71" t="inlineStr">
        <is>
          <t>No rider; BMS may be unpowered; no fire sensor confirmed</t>
        </is>
      </c>
      <c r="H45" s="76" t="n">
        <v>2</v>
      </c>
      <c r="I45" s="71" t="inlineStr">
        <is>
          <t>None defined</t>
        </is>
      </c>
      <c r="J45" s="76" t="n">
        <v>7</v>
      </c>
      <c r="K45" s="71">
        <f>F45*H45*J45</f>
        <v/>
      </c>
      <c r="L45" s="77">
        <f>IF(OR(AND(F45&gt;=9,H45&gt;=4),AND(F45&gt;=7,H45&gt;=6),AND(F45&gt;=9,H45&gt;=2,J45&gt;=7)),"H",IF(OR(AND(F45&gt;=7,H45&gt;=4),AND(F45&gt;=5,H45&gt;=6),AND(F45&gt;=9,J45&gt;=5)),"M","L"))</f>
        <v/>
      </c>
      <c r="M45" s="71" t="inlineStr">
        <is>
          <t>Lean telemetry with alerts (BCU temps + smoke sensor) or standalone temperature logger with cellular alert</t>
        </is>
      </c>
      <c r="N45" s="71" t="inlineStr">
        <is>
          <t>Matan / Micah</t>
        </is>
      </c>
      <c r="O45" s="71" t="inlineStr">
        <is>
          <t>H-19, T-01</t>
        </is>
      </c>
      <c r="P45" s="71" t="inlineStr">
        <is>
          <t>If a cell overheats during the tow, someone must find out quickly.</t>
        </is>
      </c>
      <c r="Q45" s="71" t="inlineStr">
        <is>
          <t>Open</t>
        </is>
      </c>
    </row>
    <row r="46" ht="34.5" customHeight="1" s="65">
      <c r="A46" s="72" t="inlineStr">
        <is>
          <t>F45</t>
        </is>
      </c>
      <c r="B46" s="72" t="inlineStr">
        <is>
          <t>Electric handbrake (Graham-White)</t>
        </is>
      </c>
      <c r="C46" s="72" t="inlineStr">
        <is>
          <t>Apply/release with the loco dead</t>
        </is>
      </c>
      <c r="D46" s="72" t="inlineStr">
        <is>
          <t>Cannot release or apply with 72 V off</t>
        </is>
      </c>
      <c r="E46" s="72" t="inlineStr">
        <is>
          <t>Dragging handbrake in tow (wheel flats, overheating) or no securement</t>
        </is>
      </c>
      <c r="F46" s="78" t="n">
        <v>8</v>
      </c>
      <c r="G46" s="72" t="inlineStr">
        <is>
          <t>Electric unit needs control power; manual method not verified</t>
        </is>
      </c>
      <c r="H46" s="78" t="n">
        <v>4</v>
      </c>
      <c r="I46" s="72" t="inlineStr">
        <is>
          <t>Spec breaker only bypasses the brake-applied signal</t>
        </is>
      </c>
      <c r="J46" s="78" t="n">
        <v>5</v>
      </c>
      <c r="K46" s="72">
        <f>F46*H46*J46</f>
        <v/>
      </c>
      <c r="L46" s="79">
        <f>IF(OR(AND(F46&gt;=9,H46&gt;=4),AND(F46&gt;=7,H46&gt;=6),AND(F46&gt;=9,H46&gt;=2,J46&gt;=7)),"H",IF(OR(AND(F46&gt;=7,H46&gt;=4),AND(F46&gt;=5,H46&gt;=6),AND(F46&gt;=9,J46&gt;=5)),"M","L"))</f>
        <v/>
      </c>
      <c r="M46" s="72" t="inlineStr">
        <is>
          <t>Verify manual apply/release procedure; test H-33</t>
        </is>
      </c>
      <c r="N46" s="72" t="inlineStr">
        <is>
          <t>Dragan</t>
        </is>
      </c>
      <c r="O46" s="72" t="inlineStr">
        <is>
          <t>H-33, H-23</t>
        </is>
      </c>
      <c r="P46" s="72" t="inlineStr">
        <is>
          <t>The electric parking brake must work with the power off, or the loco cannot be towed safely.</t>
        </is>
      </c>
      <c r="Q46" s="72" t="inlineStr">
        <is>
          <t>Open</t>
        </is>
      </c>
    </row>
    <row r="47" ht="34.5" customHeight="1" s="65">
      <c r="A47" s="72" t="inlineStr">
        <is>
          <t>F46</t>
        </is>
      </c>
      <c r="B47" s="72" t="inlineStr">
        <is>
          <t>Fault classification at Huntington exit</t>
        </is>
      </c>
      <c r="C47" s="72" t="inlineStr">
        <is>
          <t>Separate blocking faults from minor ones</t>
        </is>
      </c>
      <c r="D47" s="72" t="inlineStr">
        <is>
          <t>Class A fault left open or classified as B</t>
        </is>
      </c>
      <c r="E47" s="72" t="inlineStr">
        <is>
          <t>Locomotive shipped to JAX with a latent safety or control fault</t>
        </is>
      </c>
      <c r="F47" s="78" t="n">
        <v>8</v>
      </c>
      <c r="G47" s="72" t="inlineStr">
        <is>
          <t>No classified fault list yet; two suppliers fault codes</t>
        </is>
      </c>
      <c r="H47" s="78" t="n">
        <v>5</v>
      </c>
      <c r="I47" s="72" t="inlineStr">
        <is>
          <t>None yet</t>
        </is>
      </c>
      <c r="J47" s="78" t="n">
        <v>4</v>
      </c>
      <c r="K47" s="72">
        <f>F47*H47*J47</f>
        <v/>
      </c>
      <c r="L47" s="79">
        <f>IF(OR(AND(F47&gt;=9,H47&gt;=4),AND(F47&gt;=7,H47&gt;=6),AND(F47&gt;=9,H47&gt;=2,J47&gt;=7)),"H",IF(OR(AND(F47&gt;=7,H47&gt;=4),AND(F47&gt;=5,H47&gt;=6),AND(F47&gt;=9,J47&gt;=5)),"M","L"))</f>
        <v/>
      </c>
      <c r="M47" s="72" t="inlineStr">
        <is>
          <t>Classify every VMS and LCC fault code A/B/C before G3; joint review with Integral</t>
        </is>
      </c>
      <c r="N47" s="72" t="inlineStr">
        <is>
          <t>Micah + Bailey</t>
        </is>
      </c>
      <c r="O47" s="72" t="inlineStr">
        <is>
          <t>H-31, H-13</t>
        </is>
      </c>
      <c r="P47" s="72" t="inlineStr">
        <is>
          <t>We must agree which faults stop the loco and which can be fixed in Jacksonville.</t>
        </is>
      </c>
      <c r="Q47" s="72" t="inlineStr">
        <is>
          <t>Open</t>
        </is>
      </c>
    </row>
    <row r="48" ht="34.5" customHeight="1" s="65">
      <c r="A48" s="72" t="inlineStr">
        <is>
          <t>F47</t>
        </is>
      </c>
      <c r="B48" s="72" t="inlineStr">
        <is>
          <t>Manual fault override</t>
        </is>
      </c>
      <c r="C48" s="72" t="inlineStr">
        <is>
          <t>Allow motion with minor faults</t>
        </is>
      </c>
      <c r="D48" s="72" t="inlineStr">
        <is>
          <t>Override masks a protective function</t>
        </is>
      </c>
      <c r="E48" s="72" t="inlineStr">
        <is>
          <t>Unsafe motion; component damage</t>
        </is>
      </c>
      <c r="F48" s="78" t="n">
        <v>9</v>
      </c>
      <c r="G48" s="72" t="inlineStr">
        <is>
          <t>Override applied without scope or time limits</t>
        </is>
      </c>
      <c r="H48" s="78" t="n">
        <v>3</v>
      </c>
      <c r="I48" s="72" t="inlineStr">
        <is>
          <t>None</t>
        </is>
      </c>
      <c r="J48" s="78" t="n">
        <v>6</v>
      </c>
      <c r="K48" s="72">
        <f>F48*H48*J48</f>
        <v/>
      </c>
      <c r="L48" s="79">
        <f>IF(OR(AND(F48&gt;=9,H48&gt;=4),AND(F48&gt;=7,H48&gt;=6),AND(F48&gt;=9,H48&gt;=2,J48&gt;=7)),"H",IF(OR(AND(F48&gt;=7,H48&gt;=4),AND(F48&gt;=5,H48&gt;=6),AND(F48&gt;=9,J48&gt;=5)),"M","L"))</f>
        <v/>
      </c>
      <c r="M48" s="72" t="inlineStr">
        <is>
          <t>Overrides only on the Class B list; per code, per session, logged, two-person sign-off; never on Class A</t>
        </is>
      </c>
      <c r="N48" s="72" t="inlineStr">
        <is>
          <t>Bill</t>
        </is>
      </c>
      <c r="O48" s="72" t="inlineStr">
        <is>
          <t>H-13, H-31</t>
        </is>
      </c>
      <c r="P48" s="72" t="inlineStr">
        <is>
          <t>Overriding a minor fault must never switch off a safety function.</t>
        </is>
      </c>
      <c r="Q48" s="72" t="inlineStr">
        <is>
          <t>Open</t>
        </is>
      </c>
    </row>
    <row r="49" ht="34.5" customHeight="1" s="65">
      <c r="A49" s="72" t="inlineStr">
        <is>
          <t>F48</t>
        </is>
      </c>
      <c r="B49" s="72" t="inlineStr">
        <is>
          <t>Data logging</t>
        </is>
      </c>
      <c r="C49" s="72" t="inlineStr">
        <is>
          <t>Capture data from first power</t>
        </is>
      </c>
      <c r="D49" s="72" t="inlineStr">
        <is>
          <t>Logging not running, gaps, or sources not time-aligned</t>
        </is>
      </c>
      <c r="E49" s="72" t="inlineStr">
        <is>
          <t>No empirical basis for range or performance; minor faults cannot be diagnosed at JAX</t>
        </is>
      </c>
      <c r="F49" s="78" t="n">
        <v>6</v>
      </c>
      <c r="G49" s="72" t="inlineStr">
        <is>
          <t>Starlink incomplete; logger config; VMS, LCC and BCU clocks not synced</t>
        </is>
      </c>
      <c r="H49" s="78" t="n">
        <v>6</v>
      </c>
      <c r="I49" s="72" t="inlineStr">
        <is>
          <t>VMS logs (partial)</t>
        </is>
      </c>
      <c r="J49" s="78" t="n">
        <v>5</v>
      </c>
      <c r="K49" s="72">
        <f>F49*H49*J49</f>
        <v/>
      </c>
      <c r="L49" s="79">
        <f>IF(OR(AND(F49&gt;=9,H49&gt;=4),AND(F49&gt;=7,H49&gt;=6),AND(F49&gt;=9,H49&gt;=2,J49&gt;=7)),"H",IF(OR(AND(F49&gt;=7,H49&gt;=4),AND(F49&gt;=5,H49&gt;=6),AND(F49&gt;=9,J49&gt;=5)),"M","L"))</f>
        <v/>
      </c>
      <c r="M49" s="72" t="inlineStr">
        <is>
          <t>Freeze signal list (Data Logging tab); verify H-32; store-and-forward when offline</t>
        </is>
      </c>
      <c r="N49" s="72" t="inlineStr">
        <is>
          <t>Matan + Jared</t>
        </is>
      </c>
      <c r="O49" s="72" t="inlineStr">
        <is>
          <t>H-32, J-18, J-19</t>
        </is>
      </c>
      <c r="P49" s="72" t="inlineStr">
        <is>
          <t>If we do not record data from day one, we cannot estimate range or fix minor faults later.</t>
        </is>
      </c>
      <c r="Q49" s="72" t="inlineStr">
        <is>
          <t>Open</t>
        </is>
      </c>
    </row>
    <row r="50" ht="34.5" customHeight="1" s="65">
      <c r="A50" s="72" t="inlineStr">
        <is>
          <t>F49</t>
        </is>
      </c>
      <c r="B50" s="72" t="inlineStr">
        <is>
          <t>Notch 8 short-time power</t>
        </is>
      </c>
      <c r="C50" s="72" t="inlineStr">
        <is>
          <t>Deliver full power for 15 min</t>
        </is>
      </c>
      <c r="D50" s="72" t="inlineStr">
        <is>
          <t>Battery, chopper or motor limit derates before 15 min</t>
        </is>
      </c>
      <c r="E50" s="72" t="inlineStr">
        <is>
          <t>Misses CSX convergence target</t>
        </is>
      </c>
      <c r="F50" s="78" t="n">
        <v>6</v>
      </c>
      <c r="G50" s="72" t="inlineStr">
        <is>
          <t>Notch 8 needs ~2.5 MW = ESS peak (1,884 A); choppers 2.6 MW; cooling sized for 0.5C; Model Rev C: Notch 8 is power-limited (2.144 MW -&gt; 20.4 mph on LC-3/0.5%); motors ~1,060 A vs D77 15-min rating 1,150 A (RSK-NEW-17/48)</t>
        </is>
      </c>
      <c r="H50" s="78" t="n">
        <v>6</v>
      </c>
      <c r="I50" s="72" t="inlineStr">
        <is>
          <t>VMS power limit; LCC derate</t>
        </is>
      </c>
      <c r="J50" s="78" t="n">
        <v>4</v>
      </c>
      <c r="K50" s="72">
        <f>F50*H50*J50</f>
        <v/>
      </c>
      <c r="L50" s="79">
        <f>IF(OR(AND(F50&gt;=9,H50&gt;=4),AND(F50&gt;=7,H50&gt;=6),AND(F50&gt;=9,H50&gt;=2,J50&gt;=7)),"H",IF(OR(AND(F50&gt;=7,H50&gt;=4),AND(F50&gt;=5,H50&gt;=6),AND(F50&gt;=9,J50&gt;=5)),"M","L"))</f>
        <v/>
      </c>
      <c r="M50" s="72" t="inlineStr">
        <is>
          <t>Trend in J-17; size limits and cooling from data; Add D77 I^2t/time-rating check to the model report; size J-17 load at the agreed power cap (RSK-NEW-49)</t>
        </is>
      </c>
      <c r="N50" s="72" t="inlineStr">
        <is>
          <t>Micah + Integral</t>
        </is>
      </c>
      <c r="O50" s="72" t="inlineStr">
        <is>
          <t>J-14, J-17, P-01</t>
        </is>
      </c>
      <c r="P50" s="72" t="inlineStr">
        <is>
          <t>Full power for 15 minutes sits right at the battery limit; we will trend it in Jacksonville.</t>
        </is>
      </c>
      <c r="Q50" s="72" t="inlineStr">
        <is>
          <t>Open</t>
        </is>
      </c>
    </row>
    <row r="51" ht="34.5" customHeight="1" s="65">
      <c r="A51" s="72" t="inlineStr">
        <is>
          <t>F50</t>
        </is>
      </c>
      <c r="B51" s="72" t="inlineStr">
        <is>
          <t>Continuous pull at 10 mph</t>
        </is>
      </c>
      <c r="C51" s="72" t="inlineStr">
        <is>
          <t>Sustain GP40 continuous tractive effort</t>
        </is>
      </c>
      <c r="D51" s="72" t="inlineStr">
        <is>
          <t>D77 motors or choppers overheat; blower airflow short</t>
        </is>
      </c>
      <c r="E51" s="72" t="inlineStr">
        <is>
          <t>Derate in heavy switching</t>
        </is>
      </c>
      <c r="F51" s="78" t="n">
        <v>6</v>
      </c>
      <c r="G51" s="72" t="inlineStr">
        <is>
          <t>High current at low speed for long periods; blower inverter integration pending; PE loop margin</t>
        </is>
      </c>
      <c r="H51" s="78" t="n">
        <v>5</v>
      </c>
      <c r="I51" s="72" t="inlineStr">
        <is>
          <t>Motor temperature limits in LCC (assumed)</t>
        </is>
      </c>
      <c r="J51" s="78" t="n">
        <v>5</v>
      </c>
      <c r="K51" s="72">
        <f>F51*H51*J51</f>
        <v/>
      </c>
      <c r="L51" s="79">
        <f>IF(OR(AND(F51&gt;=9,H51&gt;=4),AND(F51&gt;=7,H51&gt;=6),AND(F51&gt;=9,H51&gt;=2,J51&gt;=7)),"H",IF(OR(AND(F51&gt;=7,H51&gt;=4),AND(F51&gt;=5,H51&gt;=6),AND(F51&gt;=9,J51&gt;=5)),"M","L"))</f>
        <v/>
      </c>
      <c r="M51" s="72" t="inlineStr">
        <is>
          <t>Trend in J-16; confirm blower airflow vs motor current</t>
        </is>
      </c>
      <c r="N51" s="72" t="inlineStr">
        <is>
          <t>Integral + VJ</t>
        </is>
      </c>
      <c r="O51" s="72" t="inlineStr">
        <is>
          <t>J-15, J-16, P-02, C-10</t>
        </is>
      </c>
      <c r="P51" s="72" t="inlineStr">
        <is>
          <t>Pulling hard at low speed for a long time heats the motors; we will test in steps.</t>
        </is>
      </c>
      <c r="Q51" s="72" t="inlineStr">
        <is>
          <t>Open</t>
        </is>
      </c>
    </row>
    <row r="52" ht="34.5" customHeight="1" s="65">
      <c r="A52" s="72" t="inlineStr">
        <is>
          <t>F51</t>
        </is>
      </c>
      <c r="B52" s="72" t="inlineStr">
        <is>
          <t>SW/FW configuration</t>
        </is>
      </c>
      <c r="C52" s="72" t="inlineStr">
        <is>
          <t>Run the agreed software on every controller</t>
        </is>
      </c>
      <c r="D52" s="72" t="inlineStr">
        <is>
          <t>Wrong or mismatched versions (Voltify vs Integral)</t>
        </is>
      </c>
      <c r="E52" s="72" t="inlineStr">
        <is>
          <t>Comms faults, wrong limits, faults that cannot be reproduced</t>
        </is>
      </c>
      <c r="F52" s="78" t="n">
        <v>7</v>
      </c>
      <c r="G52" s="72" t="inlineStr">
        <is>
          <t>Many controllers, two companies, field updates</t>
        </is>
      </c>
      <c r="H52" s="78" t="n">
        <v>5</v>
      </c>
      <c r="I52" s="72" t="inlineStr">
        <is>
          <t>Jared release process (Voltify only)</t>
        </is>
      </c>
      <c r="J52" s="78" t="n">
        <v>4</v>
      </c>
      <c r="K52" s="72">
        <f>F52*H52*J52</f>
        <v/>
      </c>
      <c r="L52" s="79">
        <f>IF(OR(AND(F52&gt;=9,H52&gt;=4),AND(F52&gt;=7,H52&gt;=6),AND(F52&gt;=9,H52&gt;=2,J52&gt;=7)),"H",IF(OR(AND(F52&gt;=7,H52&gt;=4),AND(F52&gt;=5,H52&gt;=6),AND(F52&gt;=9,J52&gt;=5)),"M","L"))</f>
        <v/>
      </c>
      <c r="M52" s="72" t="inlineStr">
        <is>
          <t>Version manifest with checksums for every node; joint release; re-verify after each update</t>
        </is>
      </c>
      <c r="N52" s="72" t="inlineStr">
        <is>
          <t>Jared + Integral</t>
        </is>
      </c>
      <c r="O52" s="72" t="inlineStr">
        <is>
          <t>H-30, H-04</t>
        </is>
      </c>
      <c r="P52" s="72" t="inlineStr">
        <is>
          <t>Every controller must run the agreed software version, and we write it down.</t>
        </is>
      </c>
      <c r="Q52" s="72" t="inlineStr">
        <is>
          <t>Open</t>
        </is>
      </c>
    </row>
    <row r="53" ht="34.5" customHeight="1" s="65">
      <c r="A53" s="72" t="inlineStr">
        <is>
          <t>F52</t>
        </is>
      </c>
      <c r="B53" s="72" t="inlineStr">
        <is>
          <t>Megger test</t>
        </is>
      </c>
      <c r="C53" s="72" t="inlineStr">
        <is>
          <t>Prove HV insulation</t>
        </is>
      </c>
      <c r="D53" s="72" t="inlineStr">
        <is>
          <t>Test voltage damages electronics or sensors</t>
        </is>
      </c>
      <c r="E53" s="72" t="inlineStr">
        <is>
          <t>Damaged controllers, sensors or EMC capacitors; false failures</t>
        </is>
      </c>
      <c r="F53" s="78" t="n">
        <v>7</v>
      </c>
      <c r="G53" s="72" t="inlineStr">
        <is>
          <t>2.5-5 kV applied with semiconductors, sensors or Y-caps connected</t>
        </is>
      </c>
      <c r="H53" s="78" t="n">
        <v>4</v>
      </c>
      <c r="I53" s="72" t="inlineStr">
        <is>
          <t>C-16 at harness level only</t>
        </is>
      </c>
      <c r="J53" s="78" t="n">
        <v>4</v>
      </c>
      <c r="K53" s="72">
        <f>F53*H53*J53</f>
        <v/>
      </c>
      <c r="L53" s="79">
        <f>IF(OR(AND(F53&gt;=9,H53&gt;=4),AND(F53&gt;=7,H53&gt;=6),AND(F53&gt;=9,H53&gt;=2,J53&gt;=7)),"H",IF(OR(AND(F53&gt;=7,H53&gt;=4),AND(F53&gt;=5,H53&gt;=6),AND(F53&gt;=9,J53&gt;=5)),"M","L"))</f>
        <v/>
      </c>
      <c r="M53" s="72" t="inlineStr">
        <is>
          <t>Written Megger procedure: isolate or short electronics; voltage per component rating; discharge after</t>
        </is>
      </c>
      <c r="N53" s="72" t="inlineStr">
        <is>
          <t>Mitchell</t>
        </is>
      </c>
      <c r="O53" s="72" t="inlineStr">
        <is>
          <t>H-29, C-16</t>
        </is>
      </c>
      <c r="P53" s="72" t="inlineStr">
        <is>
          <t>The insulation test uses high voltage; electronics must be disconnected first.</t>
        </is>
      </c>
      <c r="Q53" s="72" t="inlineStr">
        <is>
          <t>Open</t>
        </is>
      </c>
    </row>
    <row r="54" ht="23.25" customHeight="1" s="65">
      <c r="A54" s="72" t="inlineStr">
        <is>
          <t>F53</t>
        </is>
      </c>
      <c r="B54" s="72" t="inlineStr">
        <is>
          <t>Switcher stop/go duty</t>
        </is>
      </c>
      <c r="C54" s="72" t="inlineStr">
        <is>
          <t>Survive frequent start/stop cycles</t>
        </is>
      </c>
      <c r="D54" s="72" t="inlineStr">
        <is>
          <t>Contactor and precharge cycle wear; thermal cycling</t>
        </is>
      </c>
      <c r="E54" s="72" t="inlineStr">
        <is>
          <t>Early contactor failure; nuisance faults in CSX service</t>
        </is>
      </c>
      <c r="F54" s="78" t="n">
        <v>5</v>
      </c>
      <c r="G54" s="72" t="inlineStr">
        <is>
          <t>Switching means many cycles per shift; contactor life is rated in cycles</t>
        </is>
      </c>
      <c r="H54" s="78" t="n">
        <v>4</v>
      </c>
      <c r="I54" s="72" t="inlineStr">
        <is>
          <t>None</t>
        </is>
      </c>
      <c r="J54" s="78" t="n">
        <v>6</v>
      </c>
      <c r="K54" s="72">
        <f>F54*H54*J54</f>
        <v/>
      </c>
      <c r="L54" s="79">
        <f>IF(OR(AND(F54&gt;=9,H54&gt;=4),AND(F54&gt;=7,H54&gt;=6),AND(F54&gt;=9,H54&gt;=2,J54&gt;=7)),"H",IF(OR(AND(F54&gt;=7,H54&gt;=4),AND(F54&gt;=5,H54&gt;=6),AND(F54&gt;=9,J54&gt;=5)),"M","L"))</f>
        <v/>
      </c>
      <c r="M54" s="72" t="inlineStr">
        <is>
          <t>Count cycles in J-18; check contactor ratings vs projected daily cycles</t>
        </is>
      </c>
      <c r="N54" s="72" t="inlineStr">
        <is>
          <t>Mitchell</t>
        </is>
      </c>
      <c r="O54" s="72" t="inlineStr">
        <is>
          <t>J-18, P-04</t>
        </is>
      </c>
      <c r="P54" s="72" t="inlineStr">
        <is>
          <t>Many stops and starts wear switches faster than mainline use.</t>
        </is>
      </c>
      <c r="Q54" s="72" t="inlineStr">
        <is>
          <t>Open</t>
        </is>
      </c>
    </row>
    <row r="55" ht="45.75" customHeight="1" s="65">
      <c r="A55" s="72" t="inlineStr">
        <is>
          <t>F54</t>
        </is>
      </c>
      <c r="B55" s="72" t="inlineStr">
        <is>
          <t>PE loop radiator</t>
        </is>
      </c>
      <c r="C55" s="72" t="inlineStr">
        <is>
          <t>Keep PE coolant within device limits in hot ambient</t>
        </is>
      </c>
      <c r="D55" s="72" t="inlineStr">
        <is>
          <t>Charger supply &gt; 55 C or inverter &gt; 60 C above ~46-50 C ambient (fans healthy); see F59 for fan loss</t>
        </is>
      </c>
      <c r="E55" s="72" t="inlineStr">
        <is>
          <t>Charger or inverter derate/trip; charging or full power lost on hot days</t>
        </is>
      </c>
      <c r="F55" s="78" t="n">
        <v>7</v>
      </c>
      <c r="G55" s="72" t="inlineStr">
        <is>
          <t>Radiator sized at 40 C (KULI 47.9 kW); margin 2 K at 40 C (sweep)</t>
        </is>
      </c>
      <c r="H55" s="78" t="n">
        <v>4</v>
      </c>
      <c r="I55" s="72" t="inlineStr">
        <is>
          <t>KULI PE review; Phase 2 sweep</t>
        </is>
      </c>
      <c r="J55" s="78" t="n">
        <v>4</v>
      </c>
      <c r="K55" s="72">
        <f>F55*H55*J55</f>
        <v/>
      </c>
      <c r="L55" s="79">
        <f>IF(OR(AND(F55&gt;=9,H55&gt;=4),AND(F55&gt;=7,H55&gt;=6),AND(F55&gt;=9,H55&gt;=2,J55&gt;=7)),"H",IF(OR(AND(F55&gt;=7,H55&gt;=4),AND(F55&gt;=5,H55&gt;=6),AND(F55&gt;=9,J55&gt;=5)),"M","L"))</f>
        <v/>
      </c>
      <c r="M55" s="72" t="inlineStr">
        <is>
          <t>Set design ambient (DR-52); add radiator margin or flow; confirm whether 55 C is supply or outlet limit; derate map</t>
        </is>
      </c>
      <c r="N55" s="72" t="inlineStr">
        <is>
          <t>VJ + Integral</t>
        </is>
      </c>
      <c r="O55" s="72" t="inlineStr">
        <is>
          <t>J-20, C-19</t>
        </is>
      </c>
      <c r="P55" s="72" t="inlineStr">
        <is>
          <t>On very hot days the electronics cooling runs out of margin before the battery does.</t>
        </is>
      </c>
      <c r="Q55" s="72" t="inlineStr">
        <is>
          <t>Open</t>
        </is>
      </c>
    </row>
    <row r="56" ht="57" customHeight="1" s="65">
      <c r="A56" s="72" t="inlineStr">
        <is>
          <t>F55</t>
        </is>
      </c>
      <c r="B56" s="72" t="inlineStr">
        <is>
          <t>Condenser loop</t>
        </is>
      </c>
      <c r="C56" s="72" t="inlineStr">
        <is>
          <t>Reject chiller heat</t>
        </is>
      </c>
      <c r="D56" s="72" t="inlineStr">
        <is>
          <t>Condenser coolant 69 C at 50 C ambient and 66.4 C at 45 C during heavy duty with charging (check valves 65 C); chiller capacity -20%</t>
        </is>
      </c>
      <c r="E56" s="72" t="inlineStr">
        <is>
          <t>Chiller high-pressure trip; battery cooling lost</t>
        </is>
      </c>
      <c r="F56" s="78" t="n">
        <v>7</v>
      </c>
      <c r="G56" s="72" t="inlineStr">
        <is>
          <t>Maxwell TMS designed for -10 to 45 C ambient; 45 C baseline exceeds check valve by 1.4 K (fault sweep)</t>
        </is>
      </c>
      <c r="H56" s="78" t="n">
        <v>5</v>
      </c>
      <c r="I56" s="72" t="inlineStr">
        <is>
          <t>KULI condenser review; sweep</t>
        </is>
      </c>
      <c r="J56" s="78" t="n">
        <v>5</v>
      </c>
      <c r="K56" s="72">
        <f>F56*H56*J56</f>
        <v/>
      </c>
      <c r="L56" s="79">
        <f>IF(OR(AND(F56&gt;=9,H56&gt;=4),AND(F56&gt;=7,H56&gt;=6),AND(F56&gt;=9,H56&gt;=2,J56&gt;=7)),"H",IF(OR(AND(F56&gt;=7,H56&gt;=4),AND(F56&gt;=5,H56&gt;=6),AND(F56&gt;=9,J56&gt;=5)),"M","L"))</f>
        <v/>
      </c>
      <c r="M56" s="72" t="inlineStr">
        <is>
          <t>Fix ambient envelope; specify check valves &gt;= 80 C or relocate; obtain MTM capacity map</t>
        </is>
      </c>
      <c r="N56" s="72" t="inlineStr">
        <is>
          <t>Jack + Maxwell</t>
        </is>
      </c>
      <c r="O56" s="72" t="inlineStr">
        <is>
          <t>J-20, C-19</t>
        </is>
      </c>
      <c r="P56" s="72" t="inlineStr">
        <is>
          <t>Above 45 C the chiller loop exceeds its valve ratings.</t>
        </is>
      </c>
      <c r="Q56" s="72" t="inlineStr">
        <is>
          <t>Open</t>
        </is>
      </c>
    </row>
    <row r="57" ht="34.5" customHeight="1" s="65">
      <c r="A57" s="72" t="inlineStr">
        <is>
          <t>F56</t>
        </is>
      </c>
      <c r="B57" s="72" t="inlineStr">
        <is>
          <t>BMS low-temperature limits</t>
        </is>
      </c>
      <c r="C57" s="72" t="inlineStr">
        <is>
          <t>Allow operation after a cold soak</t>
        </is>
      </c>
      <c r="D57" s="72" t="inlineStr">
        <is>
          <t>As-shipped Jinko thresholds block charge and discharge below 3 C</t>
        </is>
      </c>
      <c r="E57" s="72" t="inlineStr">
        <is>
          <t>Loco cannot move or charge until preheated (~4.0 h from 0 C with the 12 kW heater)</t>
        </is>
      </c>
      <c r="F57" s="78" t="n">
        <v>6</v>
      </c>
      <c r="G57" s="72" t="inlineStr">
        <is>
          <t>Jinko defaults; cell spec allows discharge to -30 C</t>
        </is>
      </c>
      <c r="H57" s="78" t="n">
        <v>4</v>
      </c>
      <c r="I57" s="72" t="inlineStr">
        <is>
          <t>None</t>
        </is>
      </c>
      <c r="J57" s="78" t="n">
        <v>3</v>
      </c>
      <c r="K57" s="72">
        <f>F57*H57*J57</f>
        <v/>
      </c>
      <c r="L57" s="79">
        <f>IF(OR(AND(F57&gt;=9,H57&gt;=4),AND(F57&gt;=7,H57&gt;=6),AND(F57&gt;=9,H57&gt;=2,J57&gt;=7)),"H",IF(OR(AND(F57&gt;=7,H57&gt;=4),AND(F57&gt;=5,H57&gt;=6),AND(F57&gt;=9,J57&gt;=5)),"M","L"))</f>
        <v/>
      </c>
      <c r="M57" s="72" t="inlineStr">
        <is>
          <t>Set Voltify BMS thresholds (discharge to ~-20 C; charge &gt;= 0-5 C with reduced current); preheat procedure</t>
        </is>
      </c>
      <c r="N57" s="72" t="inlineStr">
        <is>
          <t>Micah</t>
        </is>
      </c>
      <c r="O57" s="72" t="inlineStr">
        <is>
          <t>J-21; sweep S1-S7 soaked 0 C</t>
        </is>
      </c>
      <c r="P57" s="72" t="inlineStr">
        <is>
          <t>After a cold night the battery refuses to work until it is warmed, unless we change the settings.</t>
        </is>
      </c>
      <c r="Q57" s="72" t="inlineStr">
        <is>
          <t>Open</t>
        </is>
      </c>
    </row>
    <row r="58" ht="34.5" customHeight="1" s="65">
      <c r="A58" s="72" t="inlineStr">
        <is>
          <t>F57</t>
        </is>
      </c>
      <c r="B58" s="72" t="inlineStr">
        <is>
          <t>BMS heating setpoint</t>
        </is>
      </c>
      <c r="C58" s="72" t="inlineStr">
        <is>
          <t>Keep the pack in its optimal band</t>
        </is>
      </c>
      <c r="D58" s="72" t="inlineStr">
        <is>
          <t>Heater stops at 13.5 C, below the 15-35 C optimal band</t>
        </is>
      </c>
      <c r="E58" s="72" t="inlineStr">
        <is>
          <t>Higher resistance and lower charge acceptance in cool weather</t>
        </is>
      </c>
      <c r="F58" s="78" t="n">
        <v>4</v>
      </c>
      <c r="G58" s="72" t="inlineStr">
        <is>
          <t>Jinko heating on/off 12/13.5 C</t>
        </is>
      </c>
      <c r="H58" s="78" t="n">
        <v>6</v>
      </c>
      <c r="I58" s="72" t="inlineStr">
        <is>
          <t>None</t>
        </is>
      </c>
      <c r="J58" s="78" t="n">
        <v>3</v>
      </c>
      <c r="K58" s="72">
        <f>F58*H58*J58</f>
        <v/>
      </c>
      <c r="L58" s="79">
        <f>IF(OR(AND(F58&gt;=9,H58&gt;=4),AND(F58&gt;=7,H58&gt;=6),AND(F58&gt;=9,H58&gt;=2,J58&gt;=7)),"H",IF(OR(AND(F58&gt;=7,H58&gt;=4),AND(F58&gt;=5,H58&gt;=6),AND(F58&gt;=9,J58&gt;=5)),"M","L"))</f>
        <v/>
      </c>
      <c r="M58" s="72" t="inlineStr">
        <is>
          <t>Raise heating on/off to ~15/18 C; re-run sweep</t>
        </is>
      </c>
      <c r="N58" s="72" t="inlineStr">
        <is>
          <t>Micah</t>
        </is>
      </c>
      <c r="O58" s="72" t="inlineStr">
        <is>
          <t>J-21, C-19</t>
        </is>
      </c>
      <c r="P58" s="72" t="inlineStr">
        <is>
          <t>The heater switches off before the battery reaches its best temperature.</t>
        </is>
      </c>
      <c r="Q58" s="72" t="inlineStr">
        <is>
          <t>Open</t>
        </is>
      </c>
    </row>
    <row r="59" ht="45.75" customHeight="1" s="65">
      <c r="A59" s="72" t="inlineStr">
        <is>
          <t>F58</t>
        </is>
      </c>
      <c r="B59" s="72" t="inlineStr">
        <is>
          <t>Preconditioning</t>
        </is>
      </c>
      <c r="C59" s="72" t="inlineStr">
        <is>
          <t>Start each duty inside the temperature band</t>
        </is>
      </c>
      <c r="D59" s="72" t="inlineStr">
        <is>
          <t>Pack left soaked (no standby TMS power)</t>
        </is>
      </c>
      <c r="E59" s="72" t="inlineStr">
        <is>
          <t>1.3-4.0 h recovery before full capability (12 kW heater); 100-210 kWh TMS energy on a hot day</t>
        </is>
      </c>
      <c r="F59" s="78" t="n">
        <v>6</v>
      </c>
      <c r="G59" s="72" t="inlineStr">
        <is>
          <t>No preconditioning requirement or procedure</t>
        </is>
      </c>
      <c r="H59" s="78" t="n">
        <v>5</v>
      </c>
      <c r="I59" s="72" t="inlineStr">
        <is>
          <t>None</t>
        </is>
      </c>
      <c r="J59" s="78" t="n">
        <v>4</v>
      </c>
      <c r="K59" s="72">
        <f>F59*H59*J59</f>
        <v/>
      </c>
      <c r="L59" s="79">
        <f>IF(OR(AND(F59&gt;=9,H59&gt;=4),AND(F59&gt;=7,H59&gt;=6),AND(F59&gt;=9,H59&gt;=2,J59&gt;=7)),"H",IF(OR(AND(F59&gt;=7,H59&gt;=4),AND(F59&gt;=5,H59&gt;=6),AND(F59&gt;=9,J59&gt;=5)),"M","L"))</f>
        <v/>
      </c>
      <c r="M59" s="72" t="inlineStr">
        <is>
          <t>Define preconditioning requirement (DR-53): standby TMS on wayside or battery; add to operating procedure</t>
        </is>
      </c>
      <c r="N59" s="72" t="inlineStr">
        <is>
          <t>Bill</t>
        </is>
      </c>
      <c r="O59" s="72" t="inlineStr">
        <is>
          <t>J-21, C-19</t>
        </is>
      </c>
      <c r="P59" s="72" t="inlineStr">
        <is>
          <t>A battery left sitting in the heat or cold needs hours of conditioning first.</t>
        </is>
      </c>
      <c r="Q59" s="72" t="inlineStr">
        <is>
          <t>Open</t>
        </is>
      </c>
    </row>
    <row r="60" ht="57" customHeight="1" s="65">
      <c r="A60" s="72" t="inlineStr">
        <is>
          <t>F59</t>
        </is>
      </c>
      <c r="B60" s="72" t="inlineStr">
        <is>
          <t>PE radiator fan bank</t>
        </is>
      </c>
      <c r="C60" s="72" t="inlineStr">
        <is>
          <t>Reject PE heat on hot days</t>
        </is>
      </c>
      <c r="D60" s="72" t="inlineStr">
        <is>
          <t>Fans fail (supply, controller, motor) while hauling</t>
        </is>
      </c>
      <c r="E60" s="72" t="inlineStr">
        <is>
          <t>Chopper fluid &gt; 63 C 14 min after fan loss at 40 C and 10 min at 45 C (fault sweep, POC baseline); 8 K margin left at 20 C; traction derate or trip</t>
        </is>
      </c>
      <c r="F60" s="78" t="n">
        <v>7</v>
      </c>
      <c r="G60" s="72" t="inlineStr">
        <is>
          <t>Single fan bank on PE radiator; no fan status to VMS defined</t>
        </is>
      </c>
      <c r="H60" s="78" t="n">
        <v>4</v>
      </c>
      <c r="I60" s="72" t="inlineStr">
        <is>
          <t>None</t>
        </is>
      </c>
      <c r="J60" s="78" t="n">
        <v>5</v>
      </c>
      <c r="K60" s="72">
        <f>F60*H60*J60</f>
        <v/>
      </c>
      <c r="L60" s="79">
        <f>IF(OR(AND(F60&gt;=9,H60&gt;=4),AND(F60&gt;=7,H60&gt;=6),AND(F60&gt;=9,H60&gt;=2,J60&gt;=7)),"H",IF(OR(AND(F60&gt;=7,H60&gt;=4),AND(F60&gt;=5,H60&gt;=6),AND(F60&gt;=9,J60&gt;=5)),"M","L"))</f>
        <v/>
      </c>
      <c r="M60" s="72" t="inlineStr">
        <is>
          <t>Fan speed/current feedback to VMS; Class B alarm + traction derate on fan fault; check partial-fan capacity; spare fan</t>
        </is>
      </c>
      <c r="N60" s="72" t="inlineStr">
        <is>
          <t>VJ + Micah</t>
        </is>
      </c>
      <c r="O60" s="72" t="inlineStr">
        <is>
          <t>J-20, C-21</t>
        </is>
      </c>
      <c r="P60" s="72" t="inlineStr">
        <is>
          <t>If the electronics radiator fans stop on a hot day, the choppers overheat within minutes.</t>
        </is>
      </c>
      <c r="Q60" s="72" t="inlineStr">
        <is>
          <t>Open</t>
        </is>
      </c>
    </row>
    <row r="61" ht="57" customHeight="1" s="65">
      <c r="A61" s="72" t="inlineStr">
        <is>
          <t>F61</t>
        </is>
      </c>
      <c r="B61" s="72" t="inlineStr">
        <is>
          <t>PE loop pumps</t>
        </is>
      </c>
      <c r="C61" s="72" t="inlineStr">
        <is>
          <t>Circulate PE coolant</t>
        </is>
      </c>
      <c r="D61" s="72" t="inlineStr">
        <is>
          <t>Pump stops (pump, controller, DCC65M24 24 V supply trip) or flow blocked</t>
        </is>
      </c>
      <c r="E61" s="72" t="inlineStr">
        <is>
          <t>Chopper fluid 110-134 C at once under load (fault sweep, PE_PUMP_FAIL and BTMS_24V_PS_TRIP); chopper trip or damage; coolant boiling</t>
        </is>
      </c>
      <c r="F61" s="78" t="n">
        <v>9</v>
      </c>
      <c r="G61" s="72" t="inlineStr">
        <is>
          <t>No flow measurement defined; detection relies on temperature (lags)</t>
        </is>
      </c>
      <c r="H61" s="78" t="n">
        <v>3</v>
      </c>
      <c r="I61" s="72" t="inlineStr">
        <is>
          <t>PE cooling controller pressure/level sensing (per architecture doc)</t>
        </is>
      </c>
      <c r="J61" s="78" t="n">
        <v>6</v>
      </c>
      <c r="K61" s="72">
        <f>F61*H61*J61</f>
        <v/>
      </c>
      <c r="L61" s="79">
        <f>IF(OR(AND(F61&gt;=9,H61&gt;=4),AND(F61&gt;=7,H61&gt;=6),AND(F61&gt;=9,H61&gt;=2,J61&gt;=7)),"H",IF(OR(AND(F61&gt;=7,H61&gt;=4),AND(F61&gt;=5,H61&gt;=6),AND(F61&gt;=9,J61&gt;=5)),"M","L"))</f>
        <v/>
      </c>
      <c r="M61" s="72" t="inlineStr">
        <is>
          <t>Add pump speed/flow feedback; immediate traction inhibit on PE flow loss (Class A); verify in H-34</t>
        </is>
      </c>
      <c r="N61" s="72" t="inlineStr">
        <is>
          <t>VJ + Micah</t>
        </is>
      </c>
      <c r="O61" s="72" t="inlineStr">
        <is>
          <t>H-34, C-21</t>
        </is>
      </c>
      <c r="P61" s="72" t="inlineStr">
        <is>
          <t>If the electronics coolant stops moving, the choppers overheat almost immediately.</t>
        </is>
      </c>
      <c r="Q61" s="72" t="inlineStr">
        <is>
          <t>Open</t>
        </is>
      </c>
    </row>
    <row r="62" ht="57" customHeight="1" s="65">
      <c r="A62" s="72" t="inlineStr">
        <is>
          <t>F62</t>
        </is>
      </c>
      <c r="B62" s="72" t="inlineStr">
        <is>
          <t>Axle cut-out (3 of 4 axles)</t>
        </is>
      </c>
      <c r="C62" s="72" t="inlineStr">
        <is>
          <t>Keep hauling with one axle out</t>
        </is>
      </c>
      <c r="D62" s="72" t="inlineStr">
        <is>
          <t>Adhesion and power drop to 3/4</t>
        </is>
      </c>
      <c r="E62" s="72" t="inlineStr">
        <is>
          <t>LC-3 (3,640 t on 0.5%) cannot hold 6 mph; remaining motors run ~20 K hotter (fault sweep)</t>
        </is>
      </c>
      <c r="F62" s="78" t="n">
        <v>6</v>
      </c>
      <c r="G62" s="72" t="inlineStr">
        <is>
          <t>Chopper or motor fault isolates an axle</t>
        </is>
      </c>
      <c r="H62" s="78" t="n">
        <v>4</v>
      </c>
      <c r="I62" s="72" t="inlineStr">
        <is>
          <t>LCC traction motor cut-out (computer-controlled per GP40-V spec)</t>
        </is>
      </c>
      <c r="J62" s="78" t="n">
        <v>3</v>
      </c>
      <c r="K62" s="72">
        <f>F62*H62*J62</f>
        <v/>
      </c>
      <c r="L62" s="79">
        <f>IF(OR(AND(F62&gt;=9,H62&gt;=4),AND(F62&gt;=7,H62&gt;=6),AND(F62&gt;=9,H62&gt;=2,J62&gt;=7)),"H",IF(OR(AND(F62&gt;=7,H62&gt;=4),AND(F62&gt;=5,H62&gt;=6),AND(F62&gt;=9,J62&gt;=5)),"M","L"))</f>
        <v/>
      </c>
      <c r="M62" s="72" t="inlineStr">
        <is>
          <t>Define reduced tonnage rating with 3 axles (~75% of 4-axle rating) in the operating procedure; add starting (breakaway) resistance to the model (C-22)</t>
        </is>
      </c>
      <c r="N62" s="72" t="inlineStr">
        <is>
          <t>Dragan + Bill</t>
        </is>
      </c>
      <c r="O62" s="72" t="inlineStr">
        <is>
          <t>C-21, C-22</t>
        </is>
      </c>
      <c r="P62" s="72" t="inlineStr">
        <is>
          <t>With one axle out the loco pulls about a quarter less.</t>
        </is>
      </c>
      <c r="Q62" s="72" t="inlineStr">
        <is>
          <t>Open</t>
        </is>
      </c>
    </row>
    <row r="63" ht="45.75" customHeight="1" s="65">
      <c r="A63" s="72" t="inlineStr">
        <is>
          <t>F63</t>
        </is>
      </c>
      <c r="B63" s="72" t="inlineStr">
        <is>
          <t>Cell temperature sensing</t>
        </is>
      </c>
      <c r="C63" s="72" t="inlineStr">
        <is>
          <t>Give the BMS a true cell temperature</t>
        </is>
      </c>
      <c r="D63" s="72" t="inlineStr">
        <is>
          <t>Sensor bias +5 K or -5 K</t>
        </is>
      </c>
      <c r="E63" s="72" t="inlineStr">
        <is>
          <t>+5 K: chiller over-runs (TMS energy +70-130%), condenser over 65 C at 45 C; -5 K: cooling starts late and BMS protects late</t>
        </is>
      </c>
      <c r="F63" s="78" t="n">
        <v>7</v>
      </c>
      <c r="G63" s="72" t="inlineStr">
        <is>
          <t>Sensor drift or placement not representative of hottest cell</t>
        </is>
      </c>
      <c r="H63" s="78" t="n">
        <v>3</v>
      </c>
      <c r="I63" s="72" t="inlineStr">
        <is>
          <t>Multiple cell sensors per module (BMS)</t>
        </is>
      </c>
      <c r="J63" s="78" t="n">
        <v>6</v>
      </c>
      <c r="K63" s="72">
        <f>F63*H63*J63</f>
        <v/>
      </c>
      <c r="L63" s="79">
        <f>IF(OR(AND(F63&gt;=9,H63&gt;=4),AND(F63&gt;=7,H63&gt;=6),AND(F63&gt;=9,H63&gt;=2,J63&gt;=7)),"H",IF(OR(AND(F63&gt;=7,H63&gt;=4),AND(F63&gt;=5,H63&gt;=6),AND(F63&gt;=9,J63&gt;=5)),"M","L"))</f>
        <v/>
      </c>
      <c r="M63" s="72" t="inlineStr">
        <is>
          <t>Plausibility check across sensors; review sensor placement vs hottest cell; long-duty check in C-22</t>
        </is>
      </c>
      <c r="N63" s="72" t="inlineStr">
        <is>
          <t>Micah</t>
        </is>
      </c>
      <c r="O63" s="72" t="inlineStr">
        <is>
          <t>C-21, C-22</t>
        </is>
      </c>
      <c r="P63" s="72" t="inlineStr">
        <is>
          <t>A wrong temperature reading either wastes energy on cooling or lets the cells run hot.</t>
        </is>
      </c>
      <c r="Q63" s="72" t="inlineStr">
        <is>
          <t>Open</t>
        </is>
      </c>
    </row>
    <row r="64" ht="45.75" customHeight="1" s="65">
      <c r="A64" s="72" t="inlineStr">
        <is>
          <t>F64</t>
        </is>
      </c>
      <c r="B64" s="72" t="inlineStr">
        <is>
          <t>Traction motor blowers</t>
        </is>
      </c>
      <c r="C64" s="72" t="inlineStr">
        <is>
          <t>Cool D77 motors</t>
        </is>
      </c>
      <c r="D64" s="72" t="inlineStr">
        <is>
          <t>Blowers lost (blower fault or 1500-750 V aux converter trip)</t>
        </is>
      </c>
      <c r="E64" s="72" t="inlineStr">
        <is>
          <t>Motor temperature +49 K in 3 h with no limit reached yet; long duty or heavy pulls could overheat motors (placeholder motor model)</t>
        </is>
      </c>
      <c r="F64" s="78" t="n">
        <v>7</v>
      </c>
      <c r="G64" s="72" t="inlineStr">
        <is>
          <t>Single blower supply via aux inverter</t>
        </is>
      </c>
      <c r="H64" s="78" t="n">
        <v>3</v>
      </c>
      <c r="I64" s="72" t="inlineStr">
        <is>
          <t>LCC motor temperature limits (assumed)</t>
        </is>
      </c>
      <c r="J64" s="78" t="n">
        <v>6</v>
      </c>
      <c r="K64" s="72">
        <f>F64*H64*J64</f>
        <v/>
      </c>
      <c r="L64" s="79">
        <f>IF(OR(AND(F64&gt;=9,H64&gt;=4),AND(F64&gt;=7,H64&gt;=6),AND(F64&gt;=9,H64&gt;=2,J64&gt;=7)),"H",IF(OR(AND(F64&gt;=7,H64&gt;=4),AND(F64&gt;=5,H64&gt;=6),AND(F64&gt;=9,J64&gt;=5)),"M","L"))</f>
        <v/>
      </c>
      <c r="M64" s="72" t="inlineStr">
        <is>
          <t>Blower status to LCC with derate; confirm D77 thermal limits and model with Integral; long-duty check C-22</t>
        </is>
      </c>
      <c r="N64" s="72" t="inlineStr">
        <is>
          <t>Integral + VJ</t>
        </is>
      </c>
      <c r="O64" s="72" t="inlineStr">
        <is>
          <t>C-21, C-22</t>
        </is>
      </c>
      <c r="P64" s="72" t="inlineStr">
        <is>
          <t>Without the blowers the traction motors heat up steadily.</t>
        </is>
      </c>
      <c r="Q64" s="72" t="inlineStr">
        <is>
          <t>Open</t>
        </is>
      </c>
    </row>
    <row r="65" ht="45.75" customHeight="1" s="65">
      <c r="A65" s="72" t="inlineStr">
        <is>
          <t>F60</t>
        </is>
      </c>
      <c r="B65" s="72" t="inlineStr">
        <is>
          <t>Auxiliary power budget</t>
        </is>
      </c>
      <c r="C65" s="72" t="inlineStr">
        <is>
          <t>Size standby and range energy</t>
        </is>
      </c>
      <c r="D65" s="72" t="inlineStr">
        <is>
          <t>Aux budget wrong (Phase 2 used 30 kW base; POC Power Budget values are first-pass estimates)</t>
        </is>
      </c>
      <c r="E65" s="72" t="inlineStr">
        <is>
          <t>Range, standby and preconditioning energy mis-estimated</t>
        </is>
      </c>
      <c r="F65" s="78" t="n">
        <v>4</v>
      </c>
      <c r="G65" s="72" t="inlineStr">
        <is>
          <t>Budget built from estimates and datasheets, not measurements; blower and fan hardware conflicts open</t>
        </is>
      </c>
      <c r="H65" s="78" t="n">
        <v>5</v>
      </c>
      <c r="I65" s="72" t="inlineStr">
        <is>
          <t>load_budget.csv aligned with POC Power Budget Rev B</t>
        </is>
      </c>
      <c r="J65" s="78" t="n">
        <v>5</v>
      </c>
      <c r="K65" s="72">
        <f>F65*H65*J65</f>
        <v/>
      </c>
      <c r="L65" s="79">
        <f>IF(OR(AND(F65&gt;=9,H65&gt;=4),AND(F65&gt;=7,H65&gt;=6),AND(F65&gt;=9,H65&gt;=2,J65&gt;=7)),"H",IF(OR(AND(F65&gt;=7,H65&gt;=4),AND(F65&gt;=5,H65&gt;=6),AND(F65&gt;=9,J65&gt;=5)),"M","L"))</f>
        <v/>
      </c>
      <c r="M65" s="72" t="inlineStr">
        <is>
          <t>Measure per-bus aux power at Huntington (H-17) and in J-18; update load_budget.csv</t>
        </is>
      </c>
      <c r="N65" s="72" t="inlineStr">
        <is>
          <t>Bill</t>
        </is>
      </c>
      <c r="O65" s="72" t="inlineStr">
        <is>
          <t>H-17, J-18</t>
        </is>
      </c>
      <c r="P65" s="72" t="inlineStr">
        <is>
          <t>Our estimate of the always-on electrical loads is not measured yet.</t>
        </is>
      </c>
      <c r="Q65" s="72" t="inlineStr">
        <is>
          <t>Open</t>
        </is>
      </c>
    </row>
    <row r="66" ht="57" customHeight="1" s="65">
      <c r="A66" s="72" t="inlineStr">
        <is>
          <t>F65</t>
        </is>
      </c>
      <c r="B66" s="72" t="inlineStr">
        <is>
          <t>Chopper losses / PE heat basis</t>
        </is>
      </c>
      <c r="C66" s="72" t="inlineStr">
        <is>
          <t>Size the PE loop for the real chopper heat</t>
        </is>
      </c>
      <c r="D66" s="72" t="inlineStr">
        <is>
          <t>Chopper heat higher than the design basis</t>
        </is>
      </c>
      <c r="E66" s="72" t="inlineStr">
        <is>
          <t>PE loop runs hotter; at 45 C chopper fluid ~64 C vs 63 C limit at the KULI basis (estimate); less radiator margin</t>
        </is>
      </c>
      <c r="F66" s="78" t="n">
        <v>7</v>
      </c>
      <c r="G66" s="72" t="inlineStr">
        <is>
          <t>No supplier loss data: model 1.5 kW vs KULI 4.0 kW per chopper at 425 A (KULI uses ~1.25% of output); Integral sim 2026-10-15: 2.48 kW per chopper at 1170 A (~0.78 kW at 425 A), basis per chopper vs module unconfirmed; model Rev C uses it</t>
        </is>
      </c>
      <c r="H66" s="78" t="n">
        <v>5</v>
      </c>
      <c r="I66" s="72" t="inlineStr">
        <is>
          <t>KULI PE review at reduced chopper load only; chopper cold-plate shutdown 90 C</t>
        </is>
      </c>
      <c r="J66" s="78" t="n">
        <v>5</v>
      </c>
      <c r="K66" s="72">
        <f>F66*H66*J66</f>
        <v/>
      </c>
      <c r="L66" s="79">
        <f>IF(OR(AND(F66&gt;=9,H66&gt;=4),AND(F66&gt;=7,H66&gt;=6),AND(F66&gt;=9,H66&gt;=2,J66&gt;=7)),"H",IF(OR(AND(F66&gt;=7,H66&gt;=4),AND(F66&gt;=5,H66&gt;=6),AND(F66&gt;=9,J66&gt;=5)),"M","L"))</f>
        <v/>
      </c>
      <c r="M66" s="72" t="inlineStr">
        <is>
          <t>Get Integral HV motor-lab loss data (C-24); re-run KULI at full chopper peak (32.8 kW) and the fault sweep with measured losses</t>
        </is>
      </c>
      <c r="N66" s="72" t="inlineStr">
        <is>
          <t>Integral + VJ + Bill</t>
        </is>
      </c>
      <c r="O66" s="72" t="inlineStr">
        <is>
          <t>C-24, C-21, J-20</t>
        </is>
      </c>
      <c r="P66" s="72" t="inlineStr">
        <is>
          <t>We do not yet know how much heat the choppers really make; at the high estimate they could overheat on 45 C days.</t>
        </is>
      </c>
      <c r="Q66" s="72" t="inlineStr">
        <is>
          <t>Open</t>
        </is>
      </c>
    </row>
    <row r="67" ht="57" customHeight="1" s="65">
      <c r="A67" s="72" t="inlineStr">
        <is>
          <t>F66</t>
        </is>
      </c>
      <c r="B67" s="72" t="inlineStr">
        <is>
          <t>HV charger (ITV, AUX-B002) cooling</t>
        </is>
      </c>
      <c r="C67" s="72" t="inlineStr">
        <is>
          <t>Keep the charger inside its coolant limits at full charge</t>
        </is>
      </c>
      <c r="D67" s="72" t="inlineStr">
        <is>
          <t>Coolant above the 55 C limit or flow below 30 L/min per passage</t>
        </is>
      </c>
      <c r="E67" s="72" t="inlineStr">
        <is>
          <t>Charger derate or shutdown during charging on hot days (Showcase 2 power)</t>
        </is>
      </c>
      <c r="F67" s="78" t="n">
        <v>7</v>
      </c>
      <c r="G67" s="72" t="inlineStr">
        <is>
          <t>Limit location unstated (inlet/outlet); KULI 40 C: 53.5 C in / 59.0 C out; 29.7 L/min per passage (28.3 with one pump out); 0.8 bar minimum pressure drop not checked; Integral 2026-10-15: 55 C limit is the INLET; 0.8 bar nominal at 30 L/min; onboard derate; margin 1.5 K at 40 C</t>
        </is>
      </c>
      <c r="H67" s="78" t="n">
        <v>6</v>
      </c>
      <c r="I67" s="72" t="inlineStr">
        <is>
          <t>Model checks charger supply temperature only; KULI review</t>
        </is>
      </c>
      <c r="J67" s="78" t="n">
        <v>6</v>
      </c>
      <c r="K67" s="72">
        <f>F67*H67*J67</f>
        <v/>
      </c>
      <c r="L67" s="79">
        <f>IF(OR(AND(F67&gt;=9,H67&gt;=4),AND(F67&gt;=7,H67&gt;=6),AND(F67&gt;=9,H67&gt;=2,J67&gt;=7)),"H",IF(OR(AND(F67&gt;=7,H67&gt;=4),AND(F67&gt;=5,H67&gt;=6),AND(F67&gt;=9,J67&gt;=5)),"M","L"))</f>
        <v/>
      </c>
      <c r="M67" s="72" t="inlineStr">
        <is>
          <t>Integral to confirm limit location and pressure-drop meaning; rebalance charger branch to &gt;= 30 L/min per passage; measure inlet/outlet temperature and flow (H-35, J-22)</t>
        </is>
      </c>
      <c r="N67" s="72" t="inlineStr">
        <is>
          <t>Integral + VJ + Dave</t>
        </is>
      </c>
      <c r="O67" s="72" t="inlineStr">
        <is>
          <t>H-35, J-22, J-20</t>
        </is>
      </c>
      <c r="P67" s="72" t="inlineStr">
        <is>
          <t>The charger may run hotter than allowed on a hot day, which would cut charging power during the demo.</t>
        </is>
      </c>
      <c r="Q67" s="72" t="inlineStr">
        <is>
          <t>Open</t>
        </is>
      </c>
    </row>
    <row r="68" ht="57" customHeight="1" s="65">
      <c r="A68" s="72" t="inlineStr">
        <is>
          <t>F67</t>
        </is>
      </c>
      <c r="B68" s="72" t="inlineStr">
        <is>
          <t>Charge-path fault interruption (HSCB A/B)</t>
        </is>
      </c>
      <c r="C68" s="72" t="inlineStr">
        <is>
          <t>Interrupt fault current into a roof, pantograph or charge-bus fault</t>
        </is>
      </c>
      <c r="D68" s="72" t="inlineStr">
        <is>
          <t>Battery feeds a roof/charge-bus fault through the ITV freewheel diodes (or directly in ITV-bypass / MCS direct mode)</t>
        </is>
      </c>
      <c r="E68" s="72" t="inlineStr">
        <is>
          <t>Arc, fire, roof and HVR damage</t>
        </is>
      </c>
      <c r="F68" s="78" t="n">
        <v>10</v>
      </c>
      <c r="G68" s="72" t="inlineStr">
        <is>
          <t>Flashover or short on roof, pantograph or charge bus with charger contactors closed</t>
        </is>
      </c>
      <c r="H68" s="78" t="n">
        <v>3</v>
      </c>
      <c r="I68" s="72" t="inlineStr">
        <is>
          <t>HSCB A/B between panto panel and ITV; combiner string fuses as backup</t>
        </is>
      </c>
      <c r="J68" s="78" t="n">
        <v>5</v>
      </c>
      <c r="K68" s="72">
        <f>F68*H68*J68</f>
        <v/>
      </c>
      <c r="L68" s="79">
        <f>IF(OR(AND(F68&gt;=9,H68&gt;=4),AND(F68&gt;=7,H68&gt;=6),AND(F68&gt;=9,H68&gt;=2,J68&gt;=7)),"H",IF(OR(AND(F68&gt;=7,H68&gt;=4),AND(F68&gt;=5,H68&gt;=6),AND(F68&gt;=9,J68&gt;=5)),"M","L"))</f>
        <v/>
      </c>
      <c r="M68" s="72" t="inlineStr">
        <is>
          <t>Close RSK-NEW-16 conditions (Integral back-feed confirmation, Jinko short-circuit impedance, Secheron trip curve vs I2t); HSCB trip test J-23</t>
        </is>
      </c>
      <c r="N68" s="72" t="inlineStr">
        <is>
          <t>Jonathan</t>
        </is>
      </c>
      <c r="O68" s="72" t="inlineStr">
        <is>
          <t>J-05, J-23</t>
        </is>
      </c>
      <c r="P68" s="72" t="inlineStr">
        <is>
          <t>If something shorts on the roof, the battery can push huge current back through the charger; the HSCB is what cuts it off.</t>
        </is>
      </c>
      <c r="Q68" s="72" t="inlineStr">
        <is>
          <t>Open</t>
        </is>
      </c>
    </row>
    <row r="69" ht="57" customHeight="1" s="65">
      <c r="A69" s="72" t="inlineStr">
        <is>
          <t>F68</t>
        </is>
      </c>
      <c r="B69" s="72" t="inlineStr">
        <is>
          <t>Roof bus isolation</t>
        </is>
      </c>
      <c r="C69" s="72" t="inlineStr">
        <is>
          <t>Keep roof conductors dead when pantographs are down</t>
        </is>
      </c>
      <c r="D69" s="72" t="inlineStr">
        <is>
          <t>Roof bus sits at battery voltage with pantos lowered</t>
        </is>
      </c>
      <c r="E69" s="72" t="inlineStr">
        <is>
          <t>Shock risk to roof workers and responders; fault exposure</t>
        </is>
      </c>
      <c r="F69" s="78" t="n">
        <v>9</v>
      </c>
      <c r="G69" s="72" t="inlineStr">
        <is>
          <t>Charger contactors closed with pantos down; ITV freewheel diodes energize the roof side</t>
        </is>
      </c>
      <c r="H69" s="78" t="n">
        <v>4</v>
      </c>
      <c r="I69" s="72" t="inlineStr">
        <is>
          <t>None defined</t>
        </is>
      </c>
      <c r="J69" s="78" t="n">
        <v>6</v>
      </c>
      <c r="K69" s="72">
        <f>F69*H69*J69</f>
        <v/>
      </c>
      <c r="L69" s="79">
        <f>IF(OR(AND(F69&gt;=9,H69&gt;=4),AND(F69&gt;=7,H69&gt;=6),AND(F69&gt;=9,H69&gt;=2,J69&gt;=7)),"H",IF(OR(AND(F69&gt;=7,H69&gt;=4),AND(F69&gt;=5,H69&gt;=6),AND(F69&gt;=9,J69&gt;=5)),"M","L"))</f>
        <v/>
      </c>
      <c r="M69" s="72" t="inlineStr">
        <is>
          <t>Require charger contactors open whenever pantos are down (VMS logic plus hardware interlock); verify with J-24</t>
        </is>
      </c>
      <c r="N69" s="72" t="inlineStr">
        <is>
          <t>Micah</t>
        </is>
      </c>
      <c r="O69" s="72" t="inlineStr">
        <is>
          <t>J-24</t>
        </is>
      </c>
      <c r="P69" s="72" t="inlineStr">
        <is>
          <t>With the pantographs down the roof wiring could still be live from the battery unless the charger is cut off.</t>
        </is>
      </c>
      <c r="Q69" s="72" t="inlineStr">
        <is>
          <t>Open</t>
        </is>
      </c>
    </row>
    <row r="70" ht="15" customHeight="1" s="65">
      <c r="A70" s="74" t="inlineStr">
        <is>
          <t>F69</t>
        </is>
      </c>
      <c r="B70" s="74" t="inlineStr">
        <is>
          <t>Dynamic charging without the ITV (fallback)</t>
        </is>
      </c>
      <c r="C70" s="74" t="inlineStr">
        <is>
          <t>Charge through the pantographs safely</t>
        </is>
      </c>
      <c r="D70" s="74" t="inlineStr">
        <is>
          <t>Pantographs feed the TRB-bus directly with no filtering</t>
        </is>
      </c>
      <c r="E70" s="74" t="inlineStr">
        <is>
          <t>Contact-wire transients reach the Zekalabs 750V-PS (1.7 kV SiC) on the same HVR TRB-bus port; little spike margin when charging near 1.5 kV; 750 V aux loss</t>
        </is>
      </c>
      <c r="F70" s="131" t="n">
        <v>8</v>
      </c>
      <c r="G70" s="74" t="inlineStr">
        <is>
          <t>ITV late; contact-wire to moving-pantograph voltage not stable</t>
        </is>
      </c>
      <c r="H70" s="131" t="n">
        <v>4</v>
      </c>
      <c r="I70" s="74" t="inlineStr">
        <is>
          <t>None if the ITV-bypass mode is used</t>
        </is>
      </c>
      <c r="J70" s="131" t="n">
        <v>6</v>
      </c>
      <c r="K70" s="74">
        <f>F70*H70*J70</f>
        <v/>
      </c>
      <c r="L70" s="132">
        <f>IF(OR(AND(F70&gt;=9,H70&gt;=4),AND(F70&gt;=7,H70&gt;=6),AND(F70&gt;=9,H70&gt;=2,J70&gt;=7)),"H",IF(OR(AND(F70&gt;=7,H70&gt;=4),AND(F70&gt;=5,H70&gt;=6),AND(F70&gt;=9,J70&gt;=5)),"M","L"))</f>
        <v/>
      </c>
      <c r="M70" s="74" t="inlineStr">
        <is>
          <t>Do not run dynamic charging without the ITV; ITV-bypass allowed for static charging only after a surge/filter review</t>
        </is>
      </c>
      <c r="N70" s="74" t="inlineStr">
        <is>
          <t>Jonathan + Micah</t>
        </is>
      </c>
      <c r="O70" s="74" t="inlineStr">
        <is>
          <t>J-09, J-25</t>
        </is>
      </c>
      <c r="P70" s="74" t="inlineStr">
        <is>
          <t>Without the onboard charger, voltage spikes from the overhead wire could hit our 750 V supply directly. We will not run dynamic charging without it.</t>
        </is>
      </c>
      <c r="Q70" s="74" t="inlineStr">
        <is>
          <t>Open</t>
        </is>
      </c>
    </row>
    <row r="71" ht="15" customHeight="1" s="65"/>
    <row r="72" ht="15" customHeight="1" s="65">
      <c r="A72" s="73" t="inlineStr">
        <is>
          <t>Scale</t>
        </is>
      </c>
    </row>
    <row r="73" ht="15" customHeight="1" s="65">
      <c r="A73" s="73" t="inlineStr">
        <is>
          <t>S (severity): 10 = injury/fire without warning; 8-9 = loss of primary function or regulatory; 5-7 = degraded / demo at risk; 1-4 = nuisance.</t>
        </is>
      </c>
    </row>
    <row r="74" ht="15" customHeight="1" s="65">
      <c r="A74" s="73" t="inlineStr">
        <is>
          <t>O (occurrence): 7+ = expected given current status; 4-6 = plausible; 1-3 = unlikely.  D (detection): 1-3 = test planned before exposure; 4-6 = found during integration; 7+ = likely missed until field.</t>
        </is>
      </c>
    </row>
    <row r="75" ht="15" customHeight="1" s="65">
      <c r="A75" s="73" t="inlineStr">
        <is>
          <t>AP rule (simplified): H if S&gt;=9 &amp; O&gt;=4, or S&gt;=7 &amp; O&gt;=6, or S&gt;=9 &amp; O&gt;=2 &amp; D&gt;=7. M if S&gt;=7 &amp; O&gt;=4, or S&gt;=5 &amp; O&gt;=6, or S&gt;=9 &amp; D&gt;=5. Else L.</t>
        </is>
      </c>
    </row>
    <row r="76" ht="15" customHeight="1" s="65">
      <c r="A76" s="73" t="inlineStr">
        <is>
          <t>Count of H</t>
        </is>
      </c>
      <c r="D76" s="73">
        <f>COUNTIF(L2:L70,"H")</f>
        <v/>
      </c>
    </row>
    <row r="77" ht="15" customHeight="1" s="65">
      <c r="A77" s="73" t="inlineStr">
        <is>
          <t>Count of M</t>
        </is>
      </c>
      <c r="D77" s="73">
        <f>COUNTIF(L2:L70,"M")</f>
        <v/>
      </c>
    </row>
    <row r="78">
      <c r="A78" s="73" t="inlineStr">
        <is>
          <t>Count of L</t>
        </is>
      </c>
      <c r="D78" s="73">
        <f>COUNTIF(L2:L70,"L")</f>
        <v/>
      </c>
    </row>
  </sheetData>
  <autoFilter ref="A1:Q69"/>
  <conditionalFormatting sqref="L2:L70">
    <cfRule type="cellIs" rank="0" priority="2" equalAverage="0" operator="equal" aboveAverage="0" dxfId="8" text="" percent="0" bottom="0">
      <formula>"H"</formula>
    </cfRule>
    <cfRule type="cellIs" rank="0" priority="3" equalAverage="0" operator="equal" aboveAverage="0" dxfId="7" text="" percent="0" bottom="0">
      <formula>"M"</formula>
    </cfRule>
    <cfRule type="cellIs" rank="0" priority="4" equalAverage="0" operator="equal" aboveAverage="0" dxfId="9" text="" percent="0" bottom="0">
      <formula>"L"</formula>
    </cfRule>
  </conditionalFormatting>
  <dataValidations count="2">
    <dataValidation sqref="F2:F70 H2:H70 J2:J70" showDropDown="0" showInputMessage="0" showErrorMessage="0" allowBlank="0" type="whole" errorStyle="stop" operator="between">
      <formula1>1</formula1>
      <formula2>10</formula2>
    </dataValidation>
    <dataValidation sqref="Q2:Q70" showDropDown="0" showInputMessage="0" showErrorMessage="0" allowBlank="1" type="list" errorStyle="stop" operator="between">
      <formula1>"Open,In progress,Closed"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4" min="1" max="1"/>
    <col width="34" customWidth="1" style="64" min="2" max="2"/>
    <col width="30" customWidth="1" style="64" min="3" max="4"/>
    <col width="44" customWidth="1" style="64" min="5" max="6"/>
    <col width="30" customWidth="1" style="64" min="7" max="7"/>
  </cols>
  <sheetData>
    <row r="1" ht="15" customHeight="1" s="65">
      <c r="A1" s="70" t="inlineStr">
        <is>
          <t>Class</t>
        </is>
      </c>
      <c r="B1" s="70" t="inlineStr">
        <is>
          <t>Definition</t>
        </is>
      </c>
      <c r="C1" s="70" t="inlineStr">
        <is>
          <t>Huntington exit rule (G3)</t>
        </is>
      </c>
      <c r="D1" s="70" t="inlineStr">
        <is>
          <t>Movement rule</t>
        </is>
      </c>
      <c r="E1" s="70" t="inlineStr">
        <is>
          <t>Examples: Voltify (VMS, BMS, HV)</t>
        </is>
      </c>
      <c r="F1" s="70" t="inlineStr">
        <is>
          <t>Examples: Integral (LCC, choppers) and donor</t>
        </is>
      </c>
      <c r="G1" s="70" t="inlineStr">
        <is>
          <t>Disposition</t>
        </is>
      </c>
    </row>
    <row r="2" ht="57" customHeight="1" s="65">
      <c r="A2" s="71" t="inlineStr">
        <is>
          <t>A — Blocking</t>
        </is>
      </c>
      <c r="B2" s="71" t="inlineStr">
        <is>
          <t>Loss or degradation of a safety function, HV protection, braking, or loss of control authority. Never overridden.</t>
        </is>
      </c>
      <c r="C2" s="71" t="inlineStr">
        <is>
          <t>Zero active or latched at exit. Any occurrence during H-31 or H-13 resets the gate.</t>
        </is>
      </c>
      <c r="D2" s="71" t="inlineStr">
        <is>
          <t>No motion. Abort test move; make safe; root cause before retry.</t>
        </is>
      </c>
      <c r="E2" s="71" t="inlineStr">
        <is>
          <t>E-Stop loop open or E-Stop path inoperative; HV isolation below limit; contactor feedback mismatch or weld; precharge failure; cell over/under-voltage or over-temperature; BMS (BCU) comm loss; RTV/grounding interlock fault; DC-link overvoltage</t>
        </is>
      </c>
      <c r="F2" s="71" t="inlineStr">
        <is>
          <t>LCC&lt;-&gt;VMS heartbeat loss; chopper overcurrent/desat trip; traction motor ground fault; brake/penalty or alerter inoperative; reverser/MCO position disagreement; handbrake-applied inhibit failed</t>
        </is>
      </c>
      <c r="G2" s="71" t="inlineStr">
        <is>
          <t>Fix at Huntington. Ship only with zero Class A.</t>
        </is>
      </c>
    </row>
    <row r="3" ht="57" customHeight="1" s="65">
      <c r="A3" s="71" t="inlineStr">
        <is>
          <t>B — Degraded / overridable</t>
        </is>
      </c>
      <c r="B3" s="71" t="inlineStr">
        <is>
          <t>Fault that reduces capability or diagnostics but leaves safety functions intact. May be overridden for a defined test move.</t>
        </is>
      </c>
      <c r="C3" s="71" t="inlineStr">
        <is>
          <t>Allowed if listed with a cause hypothesis, an override plan and a JAX owner.</t>
        </is>
      </c>
      <c r="D3" s="71" t="inlineStr">
        <is>
          <t>Motion allowed at &lt;=5 mph (Huntington) or per test card, with override logged.</t>
        </is>
      </c>
      <c r="E3" s="71" t="inlineStr">
        <is>
          <t>Non-critical node missing (panto ctrl, MCS ctrl, unused BTMS module); intermittent CAN error frames below threshold; redundant sensor disagree with the primary healthy; telemetry/Starlink offline; HMI display fault; aux converter warning without trip</t>
        </is>
      </c>
      <c r="F3" s="71" t="inlineStr">
        <is>
          <t>Blower speed-feedback fault with airflow verified; non-critical temperature sensor open; slip-control tuning warning; event-recorder or display fault</t>
        </is>
      </c>
      <c r="G3" s="71" t="inlineStr">
        <is>
          <t>Troubleshoot at Jacksonville (G6). Re-classify to A if it recurs 3+ times or masks an A.</t>
        </is>
      </c>
    </row>
    <row r="4" ht="23.25" customHeight="1" s="65">
      <c r="A4" s="71" t="inlineStr">
        <is>
          <t>C — Information</t>
        </is>
      </c>
      <c r="B4" s="71" t="inlineStr">
        <is>
          <t>No functional effect.</t>
        </is>
      </c>
      <c r="C4" s="71" t="inlineStr">
        <is>
          <t>No limit; log only.</t>
        </is>
      </c>
      <c r="D4" s="71" t="inlineStr">
        <is>
          <t>No restriction.</t>
        </is>
      </c>
      <c r="E4" s="71" t="inlineStr">
        <is>
          <t>Version notices; logging gap &lt; 1 min; configuration reminders</t>
        </is>
      </c>
      <c r="F4" s="71" t="inlineStr">
        <is>
          <t>Status messages; maintenance-due notices</t>
        </is>
      </c>
      <c r="G4" s="71" t="inlineStr">
        <is>
          <t>Review weekly.</t>
        </is>
      </c>
    </row>
    <row r="6" ht="15" customHeight="1" s="65">
      <c r="A6" s="75" t="inlineStr">
        <is>
          <t>Override rules (Class B only)</t>
        </is>
      </c>
    </row>
    <row r="7" ht="15" customHeight="1" s="65">
      <c r="A7" s="73" t="inlineStr">
        <is>
          <t>1. Overrides apply to one fault code, for one test session, and expire at power-down.</t>
        </is>
      </c>
    </row>
    <row r="8" ht="15" customHeight="1" s="65">
      <c r="A8" s="73" t="inlineStr">
        <is>
          <t>2. Two-person sign-off: Voltify HV-qualified engineer + Integral field engineer (for LCC/chopper codes).</t>
        </is>
      </c>
    </row>
    <row r="9" ht="15" customHeight="1" s="65">
      <c r="A9" s="73" t="inlineStr">
        <is>
          <t>3. Log who, when, why, which code and the test card in the override log (Data Logging group 12).</t>
        </is>
      </c>
    </row>
    <row r="10" ht="15" customHeight="1" s="65">
      <c r="A10" s="73" t="inlineStr">
        <is>
          <t>4. Never override a Class A code. If unsure of the class, treat it as A.</t>
        </is>
      </c>
    </row>
    <row r="11" ht="15" customHeight="1" s="65">
      <c r="A11" s="73" t="inlineStr">
        <is>
          <t>5. Daily review of overrides; a B that recurs 3+ times is reviewed for re-classification to A.</t>
        </is>
      </c>
    </row>
    <row r="12" ht="15" customHeight="1" s="65">
      <c r="A12" s="73" t="inlineStr">
        <is>
          <t>6. Every fault code from VMS and LCC is classified before H-31 (FMEA F46).</t>
        </is>
      </c>
    </row>
    <row r="14" ht="15" customHeight="1" s="65">
      <c r="A14" s="75" t="inlineStr">
        <is>
          <t>Fault-code register (fill in; first row is an example)</t>
        </is>
      </c>
    </row>
    <row r="15" ht="15" customHeight="1" s="65">
      <c r="A15" s="70" t="inlineStr">
        <is>
          <t>Fault code</t>
        </is>
      </c>
      <c r="B15" s="70" t="inlineStr">
        <is>
          <t>Source</t>
        </is>
      </c>
      <c r="C15" s="70" t="inlineStr">
        <is>
          <t>Description</t>
        </is>
      </c>
      <c r="D15" s="70" t="inlineStr">
        <is>
          <t>Class (A/B/C)</t>
        </is>
      </c>
      <c r="E15" s="70" t="inlineStr">
        <is>
          <t>Override allowed (Y/N)</t>
        </is>
      </c>
      <c r="F15" s="70" t="inlineStr">
        <is>
          <t>Owner</t>
        </is>
      </c>
      <c r="G15" s="70" t="inlineStr">
        <is>
          <t>Status / notes</t>
        </is>
      </c>
    </row>
    <row r="16" ht="23.25" customHeight="1" s="65">
      <c r="A16" s="80" t="inlineStr">
        <is>
          <t>EXAMPLE: VMS-0142</t>
        </is>
      </c>
      <c r="B16" s="80" t="inlineStr">
        <is>
          <t>VMS</t>
        </is>
      </c>
      <c r="C16" s="80" t="inlineStr">
        <is>
          <t>Pantograph controller heartbeat missing (panto not fitted)</t>
        </is>
      </c>
      <c r="D16" s="80" t="inlineStr">
        <is>
          <t>B</t>
        </is>
      </c>
      <c r="E16" s="80" t="inlineStr">
        <is>
          <t>Y</t>
        </is>
      </c>
      <c r="F16" s="80" t="inlineStr">
        <is>
          <t>Micah</t>
        </is>
      </c>
      <c r="G16" s="80" t="inlineStr">
        <is>
          <t>Expected until hatch install; clears at J-04</t>
        </is>
      </c>
    </row>
    <row r="17" ht="15" customHeight="1" s="65">
      <c r="A17" s="76" t="n"/>
      <c r="B17" s="76" t="n"/>
      <c r="C17" s="76" t="n"/>
      <c r="D17" s="76" t="n"/>
      <c r="E17" s="76" t="n"/>
      <c r="F17" s="76" t="n"/>
      <c r="G17" s="76" t="n"/>
    </row>
    <row r="18" ht="15" customHeight="1" s="65">
      <c r="A18" s="76" t="n"/>
      <c r="B18" s="76" t="n"/>
      <c r="C18" s="76" t="n"/>
      <c r="D18" s="76" t="n"/>
      <c r="E18" s="76" t="n"/>
      <c r="F18" s="76" t="n"/>
      <c r="G18" s="76" t="n"/>
    </row>
    <row r="19" ht="15" customHeight="1" s="65">
      <c r="A19" s="76" t="n"/>
      <c r="B19" s="76" t="n"/>
      <c r="C19" s="76" t="n"/>
      <c r="D19" s="76" t="n"/>
      <c r="E19" s="76" t="n"/>
      <c r="F19" s="76" t="n"/>
      <c r="G19" s="76" t="n"/>
    </row>
    <row r="20" ht="15" customHeight="1" s="65">
      <c r="A20" s="76" t="n"/>
      <c r="B20" s="76" t="n"/>
      <c r="C20" s="76" t="n"/>
      <c r="D20" s="76" t="n"/>
      <c r="E20" s="76" t="n"/>
      <c r="F20" s="76" t="n"/>
      <c r="G20" s="76" t="n"/>
    </row>
    <row r="21" ht="15" customHeight="1" s="65">
      <c r="A21" s="76" t="n"/>
      <c r="B21" s="76" t="n"/>
      <c r="C21" s="76" t="n"/>
      <c r="D21" s="76" t="n"/>
      <c r="E21" s="76" t="n"/>
      <c r="F21" s="76" t="n"/>
      <c r="G21" s="76" t="n"/>
    </row>
    <row r="22" ht="15" customHeight="1" s="65">
      <c r="A22" s="76" t="n"/>
      <c r="B22" s="76" t="n"/>
      <c r="C22" s="76" t="n"/>
      <c r="D22" s="76" t="n"/>
      <c r="E22" s="76" t="n"/>
      <c r="F22" s="76" t="n"/>
      <c r="G22" s="76" t="n"/>
    </row>
    <row r="23" ht="15" customHeight="1" s="65">
      <c r="A23" s="76" t="n"/>
      <c r="B23" s="76" t="n"/>
      <c r="C23" s="76" t="n"/>
      <c r="D23" s="76" t="n"/>
      <c r="E23" s="76" t="n"/>
      <c r="F23" s="76" t="n"/>
      <c r="G23" s="76" t="n"/>
    </row>
    <row r="24" ht="15" customHeight="1" s="65">
      <c r="A24" s="76" t="n"/>
      <c r="B24" s="76" t="n"/>
      <c r="C24" s="76" t="n"/>
      <c r="D24" s="76" t="n"/>
      <c r="E24" s="76" t="n"/>
      <c r="F24" s="76" t="n"/>
      <c r="G24" s="76" t="n"/>
    </row>
    <row r="25" ht="15" customHeight="1" s="65">
      <c r="A25" s="76" t="n"/>
      <c r="B25" s="76" t="n"/>
      <c r="C25" s="76" t="n"/>
      <c r="D25" s="76" t="n"/>
      <c r="E25" s="76" t="n"/>
      <c r="F25" s="76" t="n"/>
      <c r="G25" s="76" t="n"/>
    </row>
    <row r="26" ht="15" customHeight="1" s="65">
      <c r="A26" s="76" t="n"/>
      <c r="B26" s="76" t="n"/>
      <c r="C26" s="76" t="n"/>
      <c r="D26" s="76" t="n"/>
      <c r="E26" s="76" t="n"/>
      <c r="F26" s="76" t="n"/>
      <c r="G26" s="76" t="n"/>
    </row>
    <row r="27" ht="15" customHeight="1" s="65">
      <c r="A27" s="76" t="n"/>
      <c r="B27" s="76" t="n"/>
      <c r="C27" s="76" t="n"/>
      <c r="D27" s="76" t="n"/>
      <c r="E27" s="76" t="n"/>
      <c r="F27" s="76" t="n"/>
      <c r="G27" s="76" t="n"/>
    </row>
    <row r="28" ht="15" customHeight="1" s="65">
      <c r="A28" s="76" t="n"/>
      <c r="B28" s="76" t="n"/>
      <c r="C28" s="76" t="n"/>
      <c r="D28" s="76" t="n"/>
      <c r="E28" s="76" t="n"/>
      <c r="F28" s="76" t="n"/>
      <c r="G28" s="76" t="n"/>
    </row>
    <row r="29" ht="15" customHeight="1" s="65">
      <c r="A29" s="76" t="n"/>
      <c r="B29" s="76" t="n"/>
      <c r="C29" s="76" t="n"/>
      <c r="D29" s="76" t="n"/>
      <c r="E29" s="76" t="n"/>
      <c r="F29" s="76" t="n"/>
      <c r="G29" s="76" t="n"/>
    </row>
    <row r="30" ht="15" customHeight="1" s="65">
      <c r="A30" s="76" t="n"/>
      <c r="B30" s="76" t="n"/>
      <c r="C30" s="76" t="n"/>
      <c r="D30" s="76" t="n"/>
      <c r="E30" s="76" t="n"/>
      <c r="F30" s="76" t="n"/>
      <c r="G30" s="76" t="n"/>
    </row>
    <row r="31" ht="15" customHeight="1" s="65">
      <c r="A31" s="76" t="n"/>
      <c r="B31" s="76" t="n"/>
      <c r="C31" s="76" t="n"/>
      <c r="D31" s="76" t="n"/>
      <c r="E31" s="76" t="n"/>
      <c r="F31" s="76" t="n"/>
      <c r="G31" s="76" t="n"/>
    </row>
    <row r="32" ht="15" customHeight="1" s="65">
      <c r="A32" s="76" t="n"/>
      <c r="B32" s="76" t="n"/>
      <c r="C32" s="76" t="n"/>
      <c r="D32" s="76" t="n"/>
      <c r="E32" s="76" t="n"/>
      <c r="F32" s="76" t="n"/>
      <c r="G32" s="76" t="n"/>
    </row>
    <row r="33" ht="15" customHeight="1" s="65">
      <c r="A33" s="76" t="n"/>
      <c r="B33" s="76" t="n"/>
      <c r="C33" s="76" t="n"/>
      <c r="D33" s="76" t="n"/>
      <c r="E33" s="76" t="n"/>
      <c r="F33" s="76" t="n"/>
      <c r="G33" s="76" t="n"/>
    </row>
    <row r="34" ht="15" customHeight="1" s="65">
      <c r="A34" s="76" t="n"/>
      <c r="B34" s="76" t="n"/>
      <c r="C34" s="76" t="n"/>
      <c r="D34" s="76" t="n"/>
      <c r="E34" s="76" t="n"/>
      <c r="F34" s="76" t="n"/>
      <c r="G34" s="76" t="n"/>
    </row>
    <row r="35" ht="15" customHeight="1" s="65">
      <c r="A35" s="76" t="n"/>
      <c r="B35" s="76" t="n"/>
      <c r="C35" s="76" t="n"/>
      <c r="D35" s="76" t="n"/>
      <c r="E35" s="76" t="n"/>
      <c r="F35" s="76" t="n"/>
      <c r="G35" s="76" t="n"/>
    </row>
    <row r="36" ht="15" customHeight="1" s="65">
      <c r="A36" s="76" t="n"/>
      <c r="B36" s="76" t="n"/>
      <c r="C36" s="76" t="n"/>
      <c r="D36" s="76" t="n"/>
      <c r="E36" s="76" t="n"/>
      <c r="F36" s="76" t="n"/>
      <c r="G36" s="76" t="n"/>
    </row>
    <row r="37" ht="15" customHeight="1" s="65">
      <c r="A37" s="76" t="n"/>
      <c r="B37" s="76" t="n"/>
      <c r="C37" s="76" t="n"/>
      <c r="D37" s="76" t="n"/>
      <c r="E37" s="76" t="n"/>
      <c r="F37" s="76" t="n"/>
      <c r="G37" s="76" t="n"/>
    </row>
    <row r="38" ht="15" customHeight="1" s="65">
      <c r="A38" s="76" t="n"/>
      <c r="B38" s="76" t="n"/>
      <c r="C38" s="76" t="n"/>
      <c r="D38" s="76" t="n"/>
      <c r="E38" s="76" t="n"/>
      <c r="F38" s="76" t="n"/>
      <c r="G38" s="76" t="n"/>
    </row>
    <row r="39" ht="15" customHeight="1" s="65">
      <c r="A39" s="76" t="n"/>
      <c r="B39" s="76" t="n"/>
      <c r="C39" s="76" t="n"/>
      <c r="D39" s="76" t="n"/>
      <c r="E39" s="76" t="n"/>
      <c r="F39" s="76" t="n"/>
      <c r="G39" s="76" t="n"/>
    </row>
    <row r="40" ht="15" customHeight="1" s="65">
      <c r="A40" s="76" t="n"/>
      <c r="B40" s="76" t="n"/>
      <c r="C40" s="76" t="n"/>
      <c r="D40" s="76" t="n"/>
      <c r="E40" s="76" t="n"/>
      <c r="F40" s="76" t="n"/>
      <c r="G40" s="76" t="n"/>
    </row>
    <row r="41" ht="15" customHeight="1" s="65">
      <c r="A41" s="76" t="n"/>
      <c r="B41" s="76" t="n"/>
      <c r="C41" s="76" t="n"/>
      <c r="D41" s="76" t="n"/>
      <c r="E41" s="76" t="n"/>
      <c r="F41" s="76" t="n"/>
      <c r="G41" s="76" t="n"/>
    </row>
    <row r="42" ht="15" customHeight="1" s="65">
      <c r="A42" s="76" t="n"/>
      <c r="B42" s="76" t="n"/>
      <c r="C42" s="76" t="n"/>
      <c r="D42" s="76" t="n"/>
      <c r="E42" s="76" t="n"/>
      <c r="F42" s="76" t="n"/>
      <c r="G42" s="76" t="n"/>
    </row>
    <row r="43" ht="15" customHeight="1" s="65">
      <c r="A43" s="76" t="n"/>
      <c r="B43" s="76" t="n"/>
      <c r="C43" s="76" t="n"/>
      <c r="D43" s="76" t="n"/>
      <c r="E43" s="76" t="n"/>
      <c r="F43" s="76" t="n"/>
      <c r="G43" s="76" t="n"/>
    </row>
    <row r="44" ht="15" customHeight="1" s="65">
      <c r="A44" s="76" t="n"/>
      <c r="B44" s="76" t="n"/>
      <c r="C44" s="76" t="n"/>
      <c r="D44" s="76" t="n"/>
      <c r="E44" s="76" t="n"/>
      <c r="F44" s="76" t="n"/>
      <c r="G44" s="76" t="n"/>
    </row>
    <row r="45" ht="15" customHeight="1" s="65">
      <c r="A45" s="76" t="n"/>
      <c r="B45" s="76" t="n"/>
      <c r="C45" s="76" t="n"/>
      <c r="D45" s="76" t="n"/>
      <c r="E45" s="76" t="n"/>
      <c r="F45" s="76" t="n"/>
      <c r="G45" s="76" t="n"/>
    </row>
    <row r="46" ht="15" customHeight="1" s="65">
      <c r="A46" s="76" t="n"/>
      <c r="B46" s="76" t="n"/>
      <c r="C46" s="76" t="n"/>
      <c r="D46" s="76" t="n"/>
      <c r="E46" s="76" t="n"/>
      <c r="F46" s="76" t="n"/>
      <c r="G46" s="76" t="n"/>
    </row>
  </sheetData>
  <dataValidations count="2">
    <dataValidation sqref="D17:D46" showDropDown="0" showInputMessage="0" showErrorMessage="0" allowBlank="1" type="list" errorStyle="stop" operator="between">
      <formula1>"A,B,C"</formula1>
      <formula2>0</formula2>
    </dataValidation>
    <dataValidation sqref="E17:E46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64" min="1" max="1"/>
    <col width="14" customWidth="1" style="64" min="2" max="6"/>
    <col width="16" customWidth="1" style="64" min="7" max="9"/>
    <col width="40" customWidth="1" style="64" min="10" max="10"/>
  </cols>
  <sheetData>
    <row r="1" ht="15" customHeight="1" s="65">
      <c r="A1" s="66" t="inlineStr">
        <is>
          <t>A. GP40 reference and battery-electric equivalent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</row>
    <row r="2" ht="15" customHeight="1" s="65">
      <c r="A2" s="67" t="inlineStr">
        <is>
          <t>Locomotive weight (short tons)</t>
        </is>
      </c>
      <c r="B2" s="82" t="n">
        <v>135</v>
      </c>
      <c r="C2" s="81" t="n"/>
      <c r="D2" s="81" t="n"/>
      <c r="E2" s="81" t="n"/>
      <c r="F2" s="81" t="n"/>
      <c r="G2" s="81" t="n"/>
      <c r="H2" s="81" t="n"/>
      <c r="I2" s="81" t="n"/>
      <c r="J2" s="67" t="inlineStr">
        <is>
          <t>GP40-V spec 265,000-275,000 lb</t>
        </is>
      </c>
    </row>
    <row r="3" ht="23.25" customHeight="1" s="65">
      <c r="A3" s="67" t="inlineStr">
        <is>
          <t>GP40 continuous tractive effort (lbf)</t>
        </is>
      </c>
      <c r="B3" s="83" t="n">
        <v>54700</v>
      </c>
      <c r="C3" s="81" t="n"/>
      <c r="D3" s="81" t="n"/>
      <c r="E3" s="81" t="n"/>
      <c r="F3" s="81" t="n"/>
      <c r="G3" s="81" t="n"/>
      <c r="H3" s="81" t="n"/>
      <c r="I3" s="81" t="n"/>
      <c r="J3" s="67" t="inlineStr">
        <is>
          <t>GP40 data sheet: 54,700 lbf @ 11.1 mph, 62:15, D77 (thedieselshop.us)</t>
        </is>
      </c>
    </row>
    <row r="4" ht="15" customHeight="1" s="65">
      <c r="A4" s="67" t="inlineStr">
        <is>
          <t>GP40 minimum continuous speed (mph)</t>
        </is>
      </c>
      <c r="B4" s="84" t="n">
        <v>11.1</v>
      </c>
      <c r="C4" s="81" t="n"/>
      <c r="D4" s="81" t="n"/>
      <c r="E4" s="81" t="n"/>
      <c r="F4" s="81" t="n"/>
      <c r="G4" s="81" t="n"/>
      <c r="H4" s="81" t="n"/>
      <c r="I4" s="81" t="n"/>
      <c r="J4" s="67" t="inlineStr">
        <is>
          <t>Same source</t>
        </is>
      </c>
    </row>
    <row r="5" ht="15" customHeight="1" s="65">
      <c r="A5" s="67" t="inlineStr">
        <is>
          <t>Target continuous pull speed (mph)</t>
        </is>
      </c>
      <c r="B5" s="84" t="n">
        <v>10</v>
      </c>
      <c r="C5" s="81" t="n"/>
      <c r="D5" s="81" t="n"/>
      <c r="E5" s="81" t="n"/>
      <c r="F5" s="81" t="n"/>
      <c r="G5" s="81" t="n"/>
      <c r="H5" s="81" t="n"/>
      <c r="I5" s="81" t="n"/>
      <c r="J5" s="67" t="inlineStr">
        <is>
          <t>Dragan: continuous pull at 10 mph sustained</t>
        </is>
      </c>
    </row>
    <row r="6" ht="15" customHeight="1" s="65">
      <c r="A6" s="67" t="inlineStr">
        <is>
          <t>Adhesion for starting TE</t>
        </is>
      </c>
      <c r="B6" s="85" t="n">
        <v>0.25</v>
      </c>
      <c r="C6" s="81" t="n"/>
      <c r="D6" s="81" t="n"/>
      <c r="E6" s="81" t="n"/>
      <c r="F6" s="81" t="n"/>
      <c r="G6" s="81" t="n"/>
      <c r="H6" s="81" t="n"/>
      <c r="I6" s="81" t="n"/>
      <c r="J6" s="67" t="inlineStr">
        <is>
          <t>Data sheet basis (25%)</t>
        </is>
      </c>
    </row>
    <row r="7" ht="23.25" customHeight="1" s="65">
      <c r="A7" s="67" t="inlineStr">
        <is>
          <t>Notch 8 traction power target (hp)</t>
        </is>
      </c>
      <c r="B7" s="83" t="n">
        <v>3000</v>
      </c>
      <c r="C7" s="81" t="n"/>
      <c r="D7" s="81" t="n"/>
      <c r="E7" s="81" t="n"/>
      <c r="F7" s="81" t="n"/>
      <c r="G7" s="81" t="n"/>
      <c r="H7" s="81" t="n"/>
      <c r="I7" s="81" t="n"/>
      <c r="J7" s="67" t="inlineStr">
        <is>
          <t>Assumption: GP40 rated 3,000 hp (gross); rail hp is lower, so this is conservative</t>
        </is>
      </c>
    </row>
    <row r="8" ht="23.25" customHeight="1" s="65">
      <c r="A8" s="67" t="inlineStr">
        <is>
          <t>Battery-to-rail efficiency</t>
        </is>
      </c>
      <c r="B8" s="85" t="n">
        <v>0.88</v>
      </c>
      <c r="C8" s="81" t="n"/>
      <c r="D8" s="81" t="n"/>
      <c r="E8" s="81" t="n"/>
      <c r="F8" s="81" t="n"/>
      <c r="G8" s="81" t="n"/>
      <c r="H8" s="81" t="n"/>
      <c r="I8" s="81" t="n"/>
      <c r="J8" s="67" t="inlineStr">
        <is>
          <t>Assumption: chopper ~0.98 x D77 ~0.92 x gear ~0.97</t>
        </is>
      </c>
    </row>
    <row r="9" ht="23.25" customHeight="1" s="65">
      <c r="A9" s="67" t="inlineStr">
        <is>
          <t>Aux load while moving (kW)</t>
        </is>
      </c>
      <c r="B9" s="82" t="n">
        <v>30</v>
      </c>
      <c r="C9" s="81" t="n"/>
      <c r="D9" s="81" t="n"/>
      <c r="E9" s="81" t="n"/>
      <c r="F9" s="81" t="n"/>
      <c r="G9" s="81" t="n"/>
      <c r="H9" s="81" t="n"/>
      <c r="I9" s="81" t="n"/>
      <c r="J9" s="67" t="inlineStr">
        <is>
          <t>Assumption: blowers, cooling, 72 V (architecture doc worst case higher)</t>
        </is>
      </c>
    </row>
    <row r="10" ht="15" customHeight="1" s="65">
      <c r="A10" s="67" t="inlineStr">
        <is>
          <t>ESS energy (MWh)</t>
        </is>
      </c>
      <c r="B10" s="86" t="n">
        <v>5.016</v>
      </c>
      <c r="C10" s="81" t="n"/>
      <c r="D10" s="81" t="n"/>
      <c r="E10" s="81" t="n"/>
      <c r="F10" s="81" t="n"/>
      <c r="G10" s="81" t="n"/>
      <c r="H10" s="81" t="n"/>
      <c r="I10" s="81" t="n"/>
      <c r="J10" s="67" t="inlineStr">
        <is>
          <t>Architecture ESS table; 48 batteries, 6 strings</t>
        </is>
      </c>
    </row>
    <row r="11" ht="15" customHeight="1" s="65">
      <c r="A11" s="67" t="inlineStr">
        <is>
          <t>ESS peak discharge power (MW)</t>
        </is>
      </c>
      <c r="B11" s="86" t="n">
        <v>2.508</v>
      </c>
      <c r="C11" s="81" t="n"/>
      <c r="D11" s="81" t="n"/>
      <c r="E11" s="81" t="n"/>
      <c r="F11" s="81" t="n"/>
      <c r="G11" s="81" t="n"/>
      <c r="H11" s="81" t="n"/>
      <c r="I11" s="81" t="n"/>
      <c r="J11" s="67" t="inlineStr">
        <is>
          <t>Architecture ESS table (1,884 A)</t>
        </is>
      </c>
    </row>
    <row r="12" ht="15" customHeight="1" s="65">
      <c r="A12" s="67" t="inlineStr">
        <is>
          <t>Usable SOC fraction</t>
        </is>
      </c>
      <c r="B12" s="85" t="n">
        <v>0.8</v>
      </c>
      <c r="C12" s="81" t="n"/>
      <c r="D12" s="81" t="n"/>
      <c r="E12" s="81" t="n"/>
      <c r="F12" s="81" t="n"/>
      <c r="G12" s="81" t="n"/>
      <c r="H12" s="81" t="n"/>
      <c r="I12" s="81" t="n"/>
      <c r="J12" s="67" t="inlineStr">
        <is>
          <t>Assumption 10-90% (DR-18)</t>
        </is>
      </c>
    </row>
    <row r="13" ht="15" customHeight="1" s="65">
      <c r="A13" s="81" t="n"/>
      <c r="B13" s="81" t="n"/>
      <c r="C13" s="81" t="n"/>
      <c r="D13" s="81" t="n"/>
      <c r="E13" s="81" t="n"/>
      <c r="F13" s="81" t="n"/>
      <c r="G13" s="81" t="n"/>
      <c r="H13" s="81" t="n"/>
      <c r="I13" s="81" t="n"/>
      <c r="J13" s="81" t="n"/>
    </row>
    <row r="14" ht="23.25" customHeight="1" s="65">
      <c r="A14" s="67" t="inlineStr">
        <is>
          <t>Starting tractive effort at adhesion (lbf)</t>
        </is>
      </c>
      <c r="B14" s="87">
        <f>B2*2000*B6</f>
        <v/>
      </c>
      <c r="C14" s="81" t="n"/>
      <c r="D14" s="81" t="n"/>
      <c r="E14" s="81" t="n"/>
      <c r="F14" s="81" t="n"/>
      <c r="G14" s="81" t="n"/>
      <c r="H14" s="81" t="n"/>
      <c r="I14" s="81" t="n"/>
      <c r="J14" s="67" t="inlineStr">
        <is>
          <t>Starting TE limit for fast switcher starts (adhesion-limited)</t>
        </is>
      </c>
    </row>
    <row r="15" ht="15" customHeight="1" s="65">
      <c r="A15" s="67" t="inlineStr">
        <is>
          <t>Rail power at continuous pull (hp)</t>
        </is>
      </c>
      <c r="B15" s="87">
        <f>B3*B5/375</f>
        <v/>
      </c>
      <c r="C15" s="81" t="n"/>
      <c r="D15" s="81" t="n"/>
      <c r="E15" s="81" t="n"/>
      <c r="F15" s="81" t="n"/>
      <c r="G15" s="81" t="n"/>
      <c r="H15" s="81" t="n"/>
      <c r="I15" s="81" t="n"/>
      <c r="J15" s="81" t="n"/>
    </row>
    <row r="16" ht="15" customHeight="1" s="65">
      <c r="A16" s="67" t="inlineStr">
        <is>
          <t>Battery power at continuous pull (MW)</t>
        </is>
      </c>
      <c r="B16" s="88">
        <f>B15*0.7457/1000/B8+B9/1000</f>
        <v/>
      </c>
      <c r="C16" s="81" t="n"/>
      <c r="D16" s="81" t="n"/>
      <c r="E16" s="81" t="n"/>
      <c r="F16" s="81" t="n"/>
      <c r="G16" s="81" t="n"/>
      <c r="H16" s="81" t="n"/>
      <c r="I16" s="81" t="n"/>
      <c r="J16" s="81" t="n"/>
    </row>
    <row r="17" ht="15" customHeight="1" s="65">
      <c r="A17" s="67" t="inlineStr">
        <is>
          <t>Continuous pull C-rate</t>
        </is>
      </c>
      <c r="B17" s="88">
        <f>B16/B10</f>
        <v/>
      </c>
      <c r="C17" s="81" t="n"/>
      <c r="D17" s="81" t="n"/>
      <c r="E17" s="81" t="n"/>
      <c r="F17" s="81" t="n"/>
      <c r="G17" s="81" t="n"/>
      <c r="H17" s="81" t="n"/>
      <c r="I17" s="81" t="n"/>
      <c r="J17" s="81" t="n"/>
    </row>
    <row r="18" ht="15" customHeight="1" s="65">
      <c r="A18" s="67" t="inlineStr">
        <is>
          <t>Hours of continuous pull from usable energy</t>
        </is>
      </c>
      <c r="B18" s="89">
        <f>B10*B12/B16</f>
        <v/>
      </c>
      <c r="C18" s="81" t="n"/>
      <c r="D18" s="81" t="n"/>
      <c r="E18" s="81" t="n"/>
      <c r="F18" s="81" t="n"/>
      <c r="G18" s="81" t="n"/>
      <c r="H18" s="81" t="n"/>
      <c r="I18" s="81" t="n"/>
      <c r="J18" s="81" t="n"/>
    </row>
    <row r="19" ht="15" customHeight="1" s="65">
      <c r="A19" s="67" t="inlineStr">
        <is>
          <t>Battery power at Notch 8 (MW)</t>
        </is>
      </c>
      <c r="B19" s="88">
        <f>B7*0.7457/1000/B8+B9/1000</f>
        <v/>
      </c>
      <c r="C19" s="81" t="n"/>
      <c r="D19" s="81" t="n"/>
      <c r="E19" s="81" t="n"/>
      <c r="F19" s="81" t="n"/>
      <c r="G19" s="81" t="n"/>
      <c r="H19" s="81" t="n"/>
      <c r="I19" s="81" t="n"/>
      <c r="J19" s="81" t="n"/>
    </row>
    <row r="20" ht="23.25" customHeight="1" s="65">
      <c r="A20" s="67" t="inlineStr">
        <is>
          <t>Notch 8 battery power as % of ESS peak</t>
        </is>
      </c>
      <c r="B20" s="90">
        <f>B19/B11</f>
        <v/>
      </c>
      <c r="C20" s="81" t="n"/>
      <c r="D20" s="81" t="n"/>
      <c r="E20" s="81" t="n"/>
      <c r="F20" s="81" t="n"/>
      <c r="G20" s="81" t="n"/>
      <c r="H20" s="81" t="n"/>
      <c r="I20" s="81" t="n"/>
      <c r="J20" s="67" t="inlineStr">
        <is>
          <t>&gt;100% means Notch 8 at 3,000 hp exceeds the ESS peak rating (RSK-NEW-17)</t>
        </is>
      </c>
    </row>
    <row r="21" ht="15" customHeight="1" s="65">
      <c r="A21" s="67" t="inlineStr">
        <is>
          <t>Energy for 15 min at Notch 8 (MWh)</t>
        </is>
      </c>
      <c r="B21" s="88">
        <f>B19*0.25</f>
        <v/>
      </c>
      <c r="C21" s="81" t="n"/>
      <c r="D21" s="81" t="n"/>
      <c r="E21" s="81" t="n"/>
      <c r="F21" s="81" t="n"/>
      <c r="G21" s="81" t="n"/>
      <c r="H21" s="81" t="n"/>
      <c r="I21" s="81" t="n"/>
      <c r="J21" s="81" t="n"/>
    </row>
    <row r="22" ht="15" customHeight="1" s="65">
      <c r="A22" s="67" t="inlineStr">
        <is>
          <t>15 min Notch 8 as % of usable energy</t>
        </is>
      </c>
      <c r="B22" s="90">
        <f>B21/(B10*B12)</f>
        <v/>
      </c>
      <c r="C22" s="81" t="n"/>
      <c r="D22" s="81" t="n"/>
      <c r="E22" s="81" t="n"/>
      <c r="F22" s="81" t="n"/>
      <c r="G22" s="81" t="n"/>
      <c r="H22" s="81" t="n"/>
      <c r="I22" s="81" t="n"/>
      <c r="J22" s="81" t="n"/>
    </row>
    <row r="23" ht="15" customHeight="1" s="65">
      <c r="A23" s="81" t="n"/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</row>
    <row r="24" ht="23.25" customHeight="1" s="65">
      <c r="A24" s="67" t="inlineStr">
        <is>
          <t>Inputs: starting resistance (lb/ton)</t>
        </is>
      </c>
      <c r="B24" s="82" t="n">
        <v>15</v>
      </c>
      <c r="C24" s="81" t="n"/>
      <c r="D24" s="81" t="n"/>
      <c r="E24" s="81" t="n"/>
      <c r="F24" s="81" t="n"/>
      <c r="G24" s="81" t="n"/>
      <c r="H24" s="81" t="n"/>
      <c r="I24" s="81" t="n"/>
      <c r="J24" s="67" t="inlineStr">
        <is>
          <t>Assumption: roller-bearing cars, warm, level; cold starts can be higher</t>
        </is>
      </c>
    </row>
    <row r="25" ht="15" customHeight="1" s="65">
      <c r="A25" s="66" t="inlineStr">
        <is>
          <t>B. Switcher load cases (trailing tonnage)</t>
        </is>
      </c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</row>
    <row r="26" ht="34.5" customHeight="1" s="65">
      <c r="A26" s="70" t="inlineStr">
        <is>
          <t>Case</t>
        </is>
      </c>
      <c r="B26" s="70" t="inlineStr">
        <is>
          <t>Cars</t>
        </is>
      </c>
      <c r="C26" s="70" t="inlineStr">
        <is>
          <t>Tons per car</t>
        </is>
      </c>
      <c r="D26" s="70" t="inlineStr">
        <is>
          <t>Trailing tons</t>
        </is>
      </c>
      <c r="E26" s="70" t="inlineStr">
        <is>
          <t>Grade (%)</t>
        </is>
      </c>
      <c r="F26" s="70" t="inlineStr">
        <is>
          <t>Rolling resistance (lb/ton)</t>
        </is>
      </c>
      <c r="G26" s="70" t="inlineStr">
        <is>
          <t>Steady TE needed (lbf)</t>
        </is>
      </c>
      <c r="H26" s="70" t="inlineStr">
        <is>
          <t>% of GP40 continuous TE</t>
        </is>
      </c>
      <c r="I26" s="70" t="inlineStr">
        <is>
          <t>Starting TE needed (lbf)</t>
        </is>
      </c>
      <c r="J26" s="70" t="inlineStr">
        <is>
          <t>Description / basis</t>
        </is>
      </c>
    </row>
    <row r="27" ht="15" customHeight="1" s="65">
      <c r="A27" s="71" t="inlineStr">
        <is>
          <t>LC-0 Light engine</t>
        </is>
      </c>
      <c r="B27" s="91" t="n">
        <v>0</v>
      </c>
      <c r="C27" s="91" t="n">
        <v>0</v>
      </c>
      <c r="D27" s="92">
        <f>B27*C27</f>
        <v/>
      </c>
      <c r="E27" s="93" t="n">
        <v>0</v>
      </c>
      <c r="F27" s="93" t="n">
        <v>4</v>
      </c>
      <c r="G27" s="92">
        <f>(D27+$B$2)*(F27+20*E27)</f>
        <v/>
      </c>
      <c r="H27" s="94">
        <f>G27/$B$3</f>
        <v/>
      </c>
      <c r="I27" s="92">
        <f>D27*$B$24+$B$2*(F27+20*E27)</f>
        <v/>
      </c>
      <c r="J27" s="71" t="inlineStr">
        <is>
          <t>Showcase 1, J-14</t>
        </is>
      </c>
    </row>
    <row r="28" ht="15" customHeight="1" s="65">
      <c r="A28" s="71" t="inlineStr">
        <is>
          <t>LC-1 Industry switch</t>
        </is>
      </c>
      <c r="B28" s="91" t="n">
        <v>10</v>
      </c>
      <c r="C28" s="91" t="n">
        <v>143</v>
      </c>
      <c r="D28" s="92">
        <f>B28*C28</f>
        <v/>
      </c>
      <c r="E28" s="93" t="n">
        <v>0</v>
      </c>
      <c r="F28" s="93" t="n">
        <v>4</v>
      </c>
      <c r="G28" s="92">
        <f>(D28+$B$2)*(F28+20*E28)</f>
        <v/>
      </c>
      <c r="H28" s="94">
        <f>G28/$B$3</f>
        <v/>
      </c>
      <c r="I28" s="92">
        <f>D28*$B$24+$B$2*(F28+20*E28)</f>
        <v/>
      </c>
      <c r="J28" s="71" t="inlineStr">
        <is>
          <t>Assumption: 10 loaded 286k-lb cars; J-15</t>
        </is>
      </c>
    </row>
    <row r="29" ht="15" customHeight="1" s="65">
      <c r="A29" s="71" t="inlineStr">
        <is>
          <t>LC-2 Yard cut</t>
        </is>
      </c>
      <c r="B29" s="91" t="n">
        <v>25</v>
      </c>
      <c r="C29" s="91" t="n">
        <v>143</v>
      </c>
      <c r="D29" s="92">
        <f>B29*C29</f>
        <v/>
      </c>
      <c r="E29" s="93" t="n">
        <v>0.3</v>
      </c>
      <c r="F29" s="93" t="n">
        <v>4</v>
      </c>
      <c r="G29" s="92">
        <f>(D29+$B$2)*(F29+20*E29)</f>
        <v/>
      </c>
      <c r="H29" s="94">
        <f>G29/$B$3</f>
        <v/>
      </c>
      <c r="I29" s="92">
        <f>D29*$B$24+$B$2*(F29+20*E29)</f>
        <v/>
      </c>
      <c r="J29" s="71" t="inlineStr">
        <is>
          <t>Assumption: typical cut on a yard lead; J-15</t>
        </is>
      </c>
    </row>
    <row r="30" ht="45.75" customHeight="1" s="65">
      <c r="A30" s="71" t="inlineStr">
        <is>
          <t>LC-3 Protect case: GP40-equivalent heavy pull</t>
        </is>
      </c>
      <c r="B30" s="91" t="n">
        <v>28</v>
      </c>
      <c r="C30" s="91" t="n">
        <v>130</v>
      </c>
      <c r="D30" s="92">
        <f>B30*C30</f>
        <v/>
      </c>
      <c r="E30" s="93" t="n">
        <v>0.5</v>
      </c>
      <c r="F30" s="93" t="n">
        <v>4</v>
      </c>
      <c r="G30" s="92">
        <f>(D30+$B$2)*(F30+20*E30)</f>
        <v/>
      </c>
      <c r="H30" s="94">
        <f>G30/$B$3</f>
        <v/>
      </c>
      <c r="I30" s="92">
        <f>D30*$B$24+$B$2*(F30+20*E30)</f>
        <v/>
      </c>
      <c r="J30" s="71" t="inlineStr">
        <is>
          <t>Design/protect case for normal CSX yard ops: sized to ~100% of GP40 continuous TE, so anything a GP40 switcher handles is covered; J-15..J-17, P-02</t>
        </is>
      </c>
    </row>
    <row r="31" ht="15" customHeight="1" s="65">
      <c r="A31" s="81" t="n"/>
      <c r="B31" s="81" t="n"/>
      <c r="C31" s="81" t="n"/>
      <c r="D31" s="81" t="n"/>
      <c r="E31" s="81" t="n"/>
      <c r="F31" s="81" t="n"/>
      <c r="G31" s="81" t="n"/>
      <c r="H31" s="81" t="n"/>
      <c r="I31" s="81" t="n"/>
      <c r="J31" s="81" t="n"/>
    </row>
    <row r="32" ht="15" customHeight="1" s="65">
      <c r="A32" s="67" t="inlineStr">
        <is>
          <t>Maximum trailing tons at continuous TE, 0.5% grade</t>
        </is>
      </c>
      <c r="B32" s="87">
        <f>$B$3/(4+20*0.5)-$B$2</f>
        <v/>
      </c>
      <c r="C32" s="81" t="n"/>
      <c r="D32" s="81" t="n"/>
      <c r="E32" s="81" t="n"/>
      <c r="F32" s="81" t="n"/>
      <c r="G32" s="81" t="n"/>
      <c r="H32" s="81" t="n"/>
      <c r="I32" s="81" t="n"/>
      <c r="J32" s="81" t="n"/>
    </row>
    <row r="33" ht="15" customHeight="1" s="65">
      <c r="A33" s="67" t="inlineStr">
        <is>
          <t>Maximum trailing tons at continuous TE, 1.0% grade</t>
        </is>
      </c>
      <c r="B33" s="87">
        <f>$B$3/(4+20*1)-$B$2</f>
        <v/>
      </c>
      <c r="C33" s="81" t="n"/>
      <c r="D33" s="81" t="n"/>
      <c r="E33" s="81" t="n"/>
      <c r="F33" s="81" t="n"/>
      <c r="G33" s="81" t="n"/>
      <c r="H33" s="81" t="n"/>
      <c r="I33" s="81" t="n"/>
      <c r="J33" s="81" t="n"/>
    </row>
    <row r="34" ht="34.5" customHeight="1" s="65">
      <c r="A34" s="67" t="inlineStr">
        <is>
          <t>Stated daily load (tons/day, DR-47)</t>
        </is>
      </c>
      <c r="B34" s="95" t="inlineStr">
        <is>
          <t>20-50</t>
        </is>
      </c>
      <c r="C34" s="81" t="n"/>
      <c r="D34" s="81" t="n"/>
      <c r="E34" s="81" t="n"/>
      <c r="F34" s="81" t="n"/>
      <c r="G34" s="81" t="n"/>
      <c r="H34" s="81" t="n"/>
      <c r="I34" s="81" t="n"/>
      <c r="J34" s="67" t="inlineStr">
        <is>
          <t>As stated by Dragan; equals ~0.15-0.35 loaded cars. Confirm per-move tonnage and cars/day with CSX (RSK-NEW-18)</t>
        </is>
      </c>
    </row>
    <row r="35" ht="15" customHeight="1" s="65">
      <c r="A35" s="67" t="inlineStr">
        <is>
          <t>One loaded car (short tons)</t>
        </is>
      </c>
      <c r="B35" s="82" t="n">
        <v>143</v>
      </c>
      <c r="C35" s="81" t="n"/>
      <c r="D35" s="81" t="n"/>
      <c r="E35" s="81" t="n"/>
      <c r="F35" s="81" t="n"/>
      <c r="G35" s="81" t="n"/>
      <c r="H35" s="81" t="n"/>
      <c r="I35" s="81" t="n"/>
      <c r="J35" s="67" t="inlineStr">
        <is>
          <t>286,000 lb gross rail load</t>
        </is>
      </c>
    </row>
    <row r="36" ht="15" customHeight="1" s="65">
      <c r="A36" s="81" t="n"/>
      <c r="B36" s="81" t="n"/>
      <c r="C36" s="81" t="n"/>
      <c r="D36" s="81" t="n"/>
      <c r="E36" s="81" t="n"/>
      <c r="F36" s="81" t="n"/>
      <c r="G36" s="81" t="n"/>
      <c r="H36" s="81" t="n"/>
      <c r="I36" s="81" t="n"/>
      <c r="J36" s="81" t="n"/>
    </row>
    <row r="37" ht="23.25" customHeight="1" s="65">
      <c r="A37" s="66" t="inlineStr">
        <is>
          <t>C. Switch duty cycle energy estimate (EPA 40 CFR 1033.530, single idle, switch)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</row>
    <row r="38" ht="23.25" customHeight="1" s="65">
      <c r="A38" s="70" t="inlineStr">
        <is>
          <t>Notch</t>
        </is>
      </c>
      <c r="B38" s="70" t="inlineStr">
        <is>
          <t>Time weight</t>
        </is>
      </c>
      <c r="C38" s="70" t="inlineStr">
        <is>
          <t>Power (% of rated)</t>
        </is>
      </c>
      <c r="D38" s="70" t="inlineStr">
        <is>
          <t>Weighted power (%)</t>
        </is>
      </c>
      <c r="E38" s="81" t="n"/>
      <c r="F38" s="81" t="n"/>
      <c r="G38" s="81" t="n"/>
      <c r="H38" s="81" t="n"/>
      <c r="I38" s="81" t="n"/>
      <c r="J38" s="81" t="n"/>
    </row>
    <row r="39" ht="23.25" customHeight="1" s="65">
      <c r="A39" s="71" t="inlineStr">
        <is>
          <t>Idle</t>
        </is>
      </c>
      <c r="B39" s="96" t="n">
        <v>0.598</v>
      </c>
      <c r="C39" s="93" t="n">
        <v>0</v>
      </c>
      <c r="D39" s="97">
        <f>B39*C39</f>
        <v/>
      </c>
      <c r="E39" s="81" t="n"/>
      <c r="F39" s="81" t="n"/>
      <c r="G39" s="81" t="n"/>
      <c r="H39" s="81" t="n"/>
      <c r="I39" s="81" t="n"/>
      <c r="J39" s="67" t="inlineStr">
        <is>
          <t>Weights: 40 CFR 1033.530 Table 2 (switch); power %: Table 3</t>
        </is>
      </c>
    </row>
    <row r="40" ht="15" customHeight="1" s="65">
      <c r="A40" s="71" t="inlineStr">
        <is>
          <t>Notch 1</t>
        </is>
      </c>
      <c r="B40" s="96" t="n">
        <v>0.124</v>
      </c>
      <c r="C40" s="93" t="n">
        <v>4.5</v>
      </c>
      <c r="D40" s="97">
        <f>B40*C40</f>
        <v/>
      </c>
      <c r="E40" s="81" t="n"/>
      <c r="F40" s="81" t="n"/>
      <c r="G40" s="81" t="n"/>
      <c r="H40" s="81" t="n"/>
      <c r="I40" s="81" t="n"/>
      <c r="J40" s="81" t="n"/>
    </row>
    <row r="41" ht="15" customHeight="1" s="65">
      <c r="A41" s="71" t="inlineStr">
        <is>
          <t>Notch 2</t>
        </is>
      </c>
      <c r="B41" s="96" t="n">
        <v>0.123</v>
      </c>
      <c r="C41" s="93" t="n">
        <v>11.5</v>
      </c>
      <c r="D41" s="97">
        <f>B41*C41</f>
        <v/>
      </c>
      <c r="E41" s="81" t="n"/>
      <c r="F41" s="81" t="n"/>
      <c r="G41" s="81" t="n"/>
      <c r="H41" s="81" t="n"/>
      <c r="I41" s="81" t="n"/>
      <c r="J41" s="81" t="n"/>
    </row>
    <row r="42" ht="15" customHeight="1" s="65">
      <c r="A42" s="71" t="inlineStr">
        <is>
          <t>Notch 3</t>
        </is>
      </c>
      <c r="B42" s="96" t="n">
        <v>0.058</v>
      </c>
      <c r="C42" s="93" t="n">
        <v>23.5</v>
      </c>
      <c r="D42" s="97">
        <f>B42*C42</f>
        <v/>
      </c>
      <c r="E42" s="81" t="n"/>
      <c r="F42" s="81" t="n"/>
      <c r="G42" s="81" t="n"/>
      <c r="H42" s="81" t="n"/>
      <c r="I42" s="81" t="n"/>
      <c r="J42" s="81" t="n"/>
    </row>
    <row r="43" ht="15" customHeight="1" s="65">
      <c r="A43" s="71" t="inlineStr">
        <is>
          <t>Notch 4</t>
        </is>
      </c>
      <c r="B43" s="96" t="n">
        <v>0.036</v>
      </c>
      <c r="C43" s="93" t="n">
        <v>35</v>
      </c>
      <c r="D43" s="97">
        <f>B43*C43</f>
        <v/>
      </c>
      <c r="E43" s="81" t="n"/>
      <c r="F43" s="81" t="n"/>
      <c r="G43" s="81" t="n"/>
      <c r="H43" s="81" t="n"/>
      <c r="I43" s="81" t="n"/>
      <c r="J43" s="81" t="n"/>
    </row>
    <row r="44" ht="15" customHeight="1" s="65">
      <c r="A44" s="71" t="inlineStr">
        <is>
          <t>Notch 5</t>
        </is>
      </c>
      <c r="B44" s="96" t="n">
        <v>0.036</v>
      </c>
      <c r="C44" s="93" t="n">
        <v>48.5</v>
      </c>
      <c r="D44" s="97">
        <f>B44*C44</f>
        <v/>
      </c>
      <c r="E44" s="81" t="n"/>
      <c r="F44" s="81" t="n"/>
      <c r="G44" s="81" t="n"/>
      <c r="H44" s="81" t="n"/>
      <c r="I44" s="81" t="n"/>
      <c r="J44" s="81" t="n"/>
    </row>
    <row r="45" ht="15" customHeight="1" s="65">
      <c r="A45" s="71" t="inlineStr">
        <is>
          <t>Notch 6</t>
        </is>
      </c>
      <c r="B45" s="96" t="n">
        <v>0.015</v>
      </c>
      <c r="C45" s="93" t="n">
        <v>64</v>
      </c>
      <c r="D45" s="97">
        <f>B45*C45</f>
        <v/>
      </c>
      <c r="E45" s="81" t="n"/>
      <c r="F45" s="81" t="n"/>
      <c r="G45" s="81" t="n"/>
      <c r="H45" s="81" t="n"/>
      <c r="I45" s="81" t="n"/>
      <c r="J45" s="81" t="n"/>
    </row>
    <row r="46" ht="15" customHeight="1" s="65">
      <c r="A46" s="71" t="inlineStr">
        <is>
          <t>Notch 7</t>
        </is>
      </c>
      <c r="B46" s="96" t="n">
        <v>0.002</v>
      </c>
      <c r="C46" s="93" t="n">
        <v>85</v>
      </c>
      <c r="D46" s="97">
        <f>B46*C46</f>
        <v/>
      </c>
      <c r="E46" s="81" t="n"/>
      <c r="F46" s="81" t="n"/>
      <c r="G46" s="81" t="n"/>
      <c r="H46" s="81" t="n"/>
      <c r="I46" s="81" t="n"/>
      <c r="J46" s="81" t="n"/>
    </row>
    <row r="47" ht="15" customHeight="1" s="65">
      <c r="A47" s="71" t="inlineStr">
        <is>
          <t>Notch 8</t>
        </is>
      </c>
      <c r="B47" s="96" t="n">
        <v>0.008</v>
      </c>
      <c r="C47" s="93" t="n">
        <v>100</v>
      </c>
      <c r="D47" s="97">
        <f>B47*C47</f>
        <v/>
      </c>
      <c r="E47" s="81" t="n"/>
      <c r="F47" s="81" t="n"/>
      <c r="G47" s="81" t="n"/>
      <c r="H47" s="81" t="n"/>
      <c r="I47" s="81" t="n"/>
      <c r="J47" s="81" t="n"/>
    </row>
    <row r="48" ht="15" customHeight="1" s="65">
      <c r="A48" s="67" t="inlineStr">
        <is>
          <t>Sum of weights (check = 1.000)</t>
        </is>
      </c>
      <c r="B48" s="98">
        <f>SUM(B39:B47)</f>
        <v/>
      </c>
      <c r="C48" s="81" t="n"/>
      <c r="D48" s="81" t="n"/>
      <c r="E48" s="81" t="n"/>
      <c r="F48" s="81" t="n"/>
      <c r="G48" s="81" t="n"/>
      <c r="H48" s="81" t="n"/>
      <c r="I48" s="81" t="n"/>
      <c r="J48" s="81" t="n"/>
    </row>
    <row r="49" ht="15" customHeight="1" s="65">
      <c r="A49" s="67" t="inlineStr">
        <is>
          <t>Average load factor (% of rated)</t>
        </is>
      </c>
      <c r="B49" s="88">
        <f>SUM(D39:D47)</f>
        <v/>
      </c>
      <c r="C49" s="81" t="n"/>
      <c r="D49" s="81" t="n"/>
      <c r="E49" s="81" t="n"/>
      <c r="F49" s="81" t="n"/>
      <c r="G49" s="81" t="n"/>
      <c r="H49" s="81" t="n"/>
      <c r="I49" s="81" t="n"/>
      <c r="J49" s="81" t="n"/>
    </row>
    <row r="50" ht="15" customHeight="1" s="65">
      <c r="A50" s="67" t="inlineStr">
        <is>
          <t>Notch 8 traction power at battery, excl. aux (kW)</t>
        </is>
      </c>
      <c r="B50" s="87">
        <f>B7*0.7457/B8</f>
        <v/>
      </c>
      <c r="C50" s="81" t="n"/>
      <c r="D50" s="81" t="n"/>
      <c r="E50" s="81" t="n"/>
      <c r="F50" s="81" t="n"/>
      <c r="G50" s="81" t="n"/>
      <c r="H50" s="81" t="n"/>
      <c r="I50" s="81" t="n"/>
      <c r="J50" s="81" t="n"/>
    </row>
    <row r="51" ht="23.25" customHeight="1" s="65">
      <c r="A51" s="67" t="inlineStr">
        <is>
          <t>Average aux power over shift (kW)</t>
        </is>
      </c>
      <c r="B51" s="82" t="n">
        <v>15</v>
      </c>
      <c r="C51" s="81" t="n"/>
      <c r="D51" s="81" t="n"/>
      <c r="E51" s="81" t="n"/>
      <c r="F51" s="81" t="n"/>
      <c r="G51" s="81" t="n"/>
      <c r="H51" s="81" t="n"/>
      <c r="I51" s="81" t="n"/>
      <c r="J51" s="67" t="inlineStr">
        <is>
          <t>Assumption: between standby (~2.4 kW) and moving (~30 kW)</t>
        </is>
      </c>
    </row>
    <row r="52" ht="15" customHeight="1" s="65">
      <c r="A52" s="67" t="inlineStr">
        <is>
          <t>Average battery power over duty cycle (kW)</t>
        </is>
      </c>
      <c r="B52" s="87">
        <f>B50*B49/100+B51</f>
        <v/>
      </c>
      <c r="C52" s="81" t="n"/>
      <c r="D52" s="81" t="n"/>
      <c r="E52" s="81" t="n"/>
      <c r="F52" s="81" t="n"/>
      <c r="G52" s="81" t="n"/>
      <c r="H52" s="81" t="n"/>
      <c r="I52" s="81" t="n"/>
      <c r="J52" s="81" t="n"/>
    </row>
    <row r="53" ht="15" customHeight="1" s="65">
      <c r="A53" s="67" t="inlineStr">
        <is>
          <t>Shift length (h)</t>
        </is>
      </c>
      <c r="B53" s="82" t="n">
        <v>8</v>
      </c>
      <c r="C53" s="81" t="n"/>
      <c r="D53" s="81" t="n"/>
      <c r="E53" s="81" t="n"/>
      <c r="F53" s="81" t="n"/>
      <c r="G53" s="81" t="n"/>
      <c r="H53" s="81" t="n"/>
      <c r="I53" s="81" t="n"/>
      <c r="J53" s="81" t="n"/>
    </row>
    <row r="54" ht="15" customHeight="1" s="65">
      <c r="A54" s="67" t="inlineStr">
        <is>
          <t>Energy per shift (MWh)</t>
        </is>
      </c>
      <c r="B54" s="88">
        <f>B52*B53/1000</f>
        <v/>
      </c>
      <c r="C54" s="81" t="n"/>
      <c r="D54" s="81" t="n"/>
      <c r="E54" s="81" t="n"/>
      <c r="F54" s="81" t="n"/>
      <c r="G54" s="81" t="n"/>
      <c r="H54" s="81" t="n"/>
      <c r="I54" s="81" t="n"/>
      <c r="J54" s="81" t="n"/>
    </row>
    <row r="55" ht="15" customHeight="1" s="65">
      <c r="A55" s="67" t="inlineStr">
        <is>
          <t>Shifts per usable pack</t>
        </is>
      </c>
      <c r="B55" s="89">
        <f>B10*B12/B54</f>
        <v/>
      </c>
      <c r="C55" s="81" t="n"/>
      <c r="D55" s="81" t="n"/>
      <c r="E55" s="81" t="n"/>
      <c r="F55" s="81" t="n"/>
      <c r="G55" s="81" t="n"/>
      <c r="H55" s="81" t="n"/>
      <c r="I55" s="81" t="n"/>
      <c r="J55" s="81" t="n"/>
    </row>
    <row r="56" ht="15" customHeight="1" s="65">
      <c r="A56" s="67" t="inlineStr">
        <is>
          <t>Hours of switch duty per usable pack</t>
        </is>
      </c>
      <c r="B56" s="89">
        <f>B10*B12/(B52/1000)</f>
        <v/>
      </c>
      <c r="C56" s="81" t="n"/>
      <c r="D56" s="81" t="n"/>
      <c r="E56" s="81" t="n"/>
      <c r="F56" s="81" t="n"/>
      <c r="G56" s="81" t="n"/>
      <c r="H56" s="81" t="n"/>
      <c r="I56" s="81" t="n"/>
      <c r="J56" s="81" t="n"/>
    </row>
    <row r="57" ht="34.5" customHeight="1" s="65">
      <c r="A57" s="67" t="inlineStr">
        <is>
          <t>First-pass range estimate only. Replace with J-18/J-19 measured data (DR-49). Notch power on a battery loco may not follow diesel engine-power notching.</t>
        </is>
      </c>
      <c r="B57" s="81" t="n"/>
      <c r="C57" s="81" t="n"/>
      <c r="D57" s="81" t="n"/>
      <c r="E57" s="81" t="n"/>
      <c r="F57" s="81" t="n"/>
      <c r="G57" s="81" t="n"/>
      <c r="H57" s="81" t="n"/>
      <c r="I57" s="81" t="n"/>
      <c r="J57" s="81" t="n"/>
    </row>
    <row r="58" ht="15" customHeight="1" s="65">
      <c r="A58" s="81" t="n"/>
      <c r="B58" s="81" t="n"/>
      <c r="C58" s="81" t="n"/>
      <c r="D58" s="81" t="n"/>
      <c r="E58" s="81" t="n"/>
      <c r="F58" s="81" t="n"/>
      <c r="G58" s="81" t="n"/>
      <c r="H58" s="81" t="n"/>
      <c r="I58" s="81" t="n"/>
      <c r="J58" s="81" t="n"/>
    </row>
    <row r="59" ht="23.25" customHeight="1" s="65">
      <c r="A59" s="66" t="inlineStr">
        <is>
          <t>D. Jacksonville ramp-up matrix (trend toward CSX targets; non-gating)</t>
        </is>
      </c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</row>
    <row r="60" ht="23.25" customHeight="1" s="65">
      <c r="A60" s="70" t="inlineStr">
        <is>
          <t>Step</t>
        </is>
      </c>
      <c r="B60" s="70" t="inlineStr">
        <is>
          <t>Test</t>
        </is>
      </c>
      <c r="C60" s="70" t="inlineStr">
        <is>
          <t>Load case</t>
        </is>
      </c>
      <c r="D60" s="70" t="inlineStr">
        <is>
          <t>Target</t>
        </is>
      </c>
      <c r="E60" s="70" t="inlineStr">
        <is>
          <t>Hold (min)</t>
        </is>
      </c>
      <c r="F60" s="70" t="inlineStr">
        <is>
          <t>Est. battery power (MW)</t>
        </is>
      </c>
      <c r="G60" s="70" t="inlineStr">
        <is>
          <t>Est. energy (MWh)</t>
        </is>
      </c>
      <c r="H60" s="70" t="inlineStr">
        <is>
          <t>% of usable</t>
        </is>
      </c>
      <c r="I60" s="70" t="inlineStr">
        <is>
          <t>Stop if</t>
        </is>
      </c>
      <c r="J60" s="81" t="n"/>
    </row>
    <row r="61" ht="23.25" customHeight="1" s="65">
      <c r="A61" s="71" t="inlineStr">
        <is>
          <t>R1</t>
        </is>
      </c>
      <c r="B61" s="71" t="inlineStr">
        <is>
          <t>J-14</t>
        </is>
      </c>
      <c r="C61" s="71" t="inlineStr">
        <is>
          <t>LC-0</t>
        </is>
      </c>
      <c r="D61" s="71" t="inlineStr">
        <is>
          <t>Notch 1-8 map</t>
        </is>
      </c>
      <c r="E61" s="91" t="n">
        <v>10</v>
      </c>
      <c r="F61" s="97">
        <f>B19*0.3</f>
        <v/>
      </c>
      <c r="G61" s="97">
        <f>F61*E61/60</f>
        <v/>
      </c>
      <c r="H61" s="94">
        <f>G61/($B$10*$B$12)</f>
        <v/>
      </c>
      <c r="I61" s="71" t="inlineStr">
        <is>
          <t>Any Class A; battery &gt; 1,884 A</t>
        </is>
      </c>
      <c r="J61" s="81" t="n"/>
    </row>
    <row r="62" ht="34.5" customHeight="1" s="65">
      <c r="A62" s="71" t="inlineStr">
        <is>
          <t>R2</t>
        </is>
      </c>
      <c r="B62" s="71" t="inlineStr">
        <is>
          <t>J-15</t>
        </is>
      </c>
      <c r="C62" s="71" t="inlineStr">
        <is>
          <t>LC-1/2/3</t>
        </is>
      </c>
      <c r="D62" s="71" t="inlineStr">
        <is>
          <t>Start + accelerate to 10 mph</t>
        </is>
      </c>
      <c r="E62" s="91" t="n">
        <v>10</v>
      </c>
      <c r="F62" s="97">
        <f>B19*0.6</f>
        <v/>
      </c>
      <c r="G62" s="97">
        <f>F62*E62/60</f>
        <v/>
      </c>
      <c r="H62" s="94">
        <f>G62/($B$10*$B$12)</f>
        <v/>
      </c>
      <c r="I62" s="71" t="inlineStr">
        <is>
          <t>Uncontrolled slip; Class A</t>
        </is>
      </c>
      <c r="J62" s="81" t="n"/>
    </row>
    <row r="63" ht="23.25" customHeight="1" s="65">
      <c r="A63" s="71" t="inlineStr">
        <is>
          <t>R3</t>
        </is>
      </c>
      <c r="B63" s="71" t="inlineStr">
        <is>
          <t>J-16</t>
        </is>
      </c>
      <c r="C63" s="71" t="inlineStr">
        <is>
          <t>LC-3</t>
        </is>
      </c>
      <c r="D63" s="71" t="inlineStr">
        <is>
          <t>50% continuous TE at 10 mph</t>
        </is>
      </c>
      <c r="E63" s="91" t="n">
        <v>15</v>
      </c>
      <c r="F63" s="97">
        <f>0.5*B15*0.7457/1000/B8+B9/1000</f>
        <v/>
      </c>
      <c r="G63" s="97">
        <f>F63*E63/60</f>
        <v/>
      </c>
      <c r="H63" s="94">
        <f>G63/($B$10*$B$12)</f>
        <v/>
      </c>
      <c r="I63" s="71" t="inlineStr">
        <is>
          <t>Projected temp &gt; limit</t>
        </is>
      </c>
      <c r="J63" s="81" t="n"/>
    </row>
    <row r="64" ht="23.25" customHeight="1" s="65">
      <c r="A64" s="71" t="inlineStr">
        <is>
          <t>R4</t>
        </is>
      </c>
      <c r="B64" s="71" t="inlineStr">
        <is>
          <t>J-16</t>
        </is>
      </c>
      <c r="C64" s="71" t="inlineStr">
        <is>
          <t>LC-3</t>
        </is>
      </c>
      <c r="D64" s="71" t="inlineStr">
        <is>
          <t>75% continuous TE at 10 mph</t>
        </is>
      </c>
      <c r="E64" s="91" t="n">
        <v>30</v>
      </c>
      <c r="F64" s="97">
        <f>0.75*B15*0.7457/1000/B8+B9/1000</f>
        <v/>
      </c>
      <c r="G64" s="97">
        <f>F64*E64/60</f>
        <v/>
      </c>
      <c r="H64" s="94">
        <f>G64/($B$10*$B$12)</f>
        <v/>
      </c>
      <c r="I64" s="71" t="inlineStr">
        <is>
          <t>Projected temp &gt; limit</t>
        </is>
      </c>
      <c r="J64" s="81" t="n"/>
    </row>
    <row r="65" ht="34.5" customHeight="1" s="65">
      <c r="A65" s="71" t="inlineStr">
        <is>
          <t>R5</t>
        </is>
      </c>
      <c r="B65" s="71" t="inlineStr">
        <is>
          <t>J-16</t>
        </is>
      </c>
      <c r="C65" s="71" t="inlineStr">
        <is>
          <t>LC-3</t>
        </is>
      </c>
      <c r="D65" s="71" t="inlineStr">
        <is>
          <t>100% continuous TE at 10 mph</t>
        </is>
      </c>
      <c r="E65" s="91" t="n">
        <v>60</v>
      </c>
      <c r="F65" s="97">
        <f>B16</f>
        <v/>
      </c>
      <c r="G65" s="97">
        <f>F65*E65/60</f>
        <v/>
      </c>
      <c r="H65" s="94">
        <f>G65/($B$10*$B$12)</f>
        <v/>
      </c>
      <c r="I65" s="71" t="inlineStr">
        <is>
          <t>Projected temp &gt; limit</t>
        </is>
      </c>
      <c r="J65" s="81" t="n"/>
    </row>
    <row r="66" ht="23.25" customHeight="1" s="65">
      <c r="A66" s="71" t="inlineStr">
        <is>
          <t>R6</t>
        </is>
      </c>
      <c r="B66" s="71" t="inlineStr">
        <is>
          <t>J-17</t>
        </is>
      </c>
      <c r="C66" s="71" t="inlineStr">
        <is>
          <t>Heavy</t>
        </is>
      </c>
      <c r="D66" s="71" t="inlineStr">
        <is>
          <t>Notch 8</t>
        </is>
      </c>
      <c r="E66" s="91" t="n">
        <v>1</v>
      </c>
      <c r="F66" s="97">
        <f>B19</f>
        <v/>
      </c>
      <c r="G66" s="97">
        <f>F66*E66/60</f>
        <v/>
      </c>
      <c r="H66" s="94">
        <f>G66/($B$10*$B$12)</f>
        <v/>
      </c>
      <c r="I66" s="71" t="inlineStr">
        <is>
          <t>Derate; temp &gt; limit</t>
        </is>
      </c>
      <c r="J66" s="81" t="n"/>
    </row>
    <row r="67" ht="23.25" customHeight="1" s="65">
      <c r="A67" s="71" t="inlineStr">
        <is>
          <t>R7</t>
        </is>
      </c>
      <c r="B67" s="71" t="inlineStr">
        <is>
          <t>J-17</t>
        </is>
      </c>
      <c r="C67" s="71" t="inlineStr">
        <is>
          <t>Heavy</t>
        </is>
      </c>
      <c r="D67" s="71" t="inlineStr">
        <is>
          <t>Notch 8</t>
        </is>
      </c>
      <c r="E67" s="91" t="n">
        <v>5</v>
      </c>
      <c r="F67" s="97">
        <f>B19</f>
        <v/>
      </c>
      <c r="G67" s="97">
        <f>F67*E67/60</f>
        <v/>
      </c>
      <c r="H67" s="94">
        <f>G67/($B$10*$B$12)</f>
        <v/>
      </c>
      <c r="I67" s="71" t="inlineStr">
        <is>
          <t>Derate; temp &gt; limit</t>
        </is>
      </c>
      <c r="J67" s="81" t="n"/>
    </row>
    <row r="68" ht="23.25" customHeight="1" s="65">
      <c r="A68" s="71" t="inlineStr">
        <is>
          <t>R8</t>
        </is>
      </c>
      <c r="B68" s="71" t="inlineStr">
        <is>
          <t>J-17</t>
        </is>
      </c>
      <c r="C68" s="71" t="inlineStr">
        <is>
          <t>Heavy</t>
        </is>
      </c>
      <c r="D68" s="71" t="inlineStr">
        <is>
          <t>Notch 8</t>
        </is>
      </c>
      <c r="E68" s="91" t="n">
        <v>10</v>
      </c>
      <c r="F68" s="97">
        <f>B19</f>
        <v/>
      </c>
      <c r="G68" s="97">
        <f>F68*E68/60</f>
        <v/>
      </c>
      <c r="H68" s="94">
        <f>G68/($B$10*$B$12)</f>
        <v/>
      </c>
      <c r="I68" s="71" t="inlineStr">
        <is>
          <t>Derate; temp &gt; limit</t>
        </is>
      </c>
      <c r="J68" s="81" t="n"/>
    </row>
    <row r="69" ht="23.25" customHeight="1" s="65">
      <c r="A69" s="71" t="inlineStr">
        <is>
          <t>R9</t>
        </is>
      </c>
      <c r="B69" s="71" t="inlineStr">
        <is>
          <t>J-17</t>
        </is>
      </c>
      <c r="C69" s="71" t="inlineStr">
        <is>
          <t>Heavy</t>
        </is>
      </c>
      <c r="D69" s="71" t="inlineStr">
        <is>
          <t>Notch 8</t>
        </is>
      </c>
      <c r="E69" s="91" t="n">
        <v>15</v>
      </c>
      <c r="F69" s="97">
        <f>B19</f>
        <v/>
      </c>
      <c r="G69" s="97">
        <f>F69*E69/60</f>
        <v/>
      </c>
      <c r="H69" s="94">
        <f>G69/($B$10*$B$12)</f>
        <v/>
      </c>
      <c r="I69" s="71" t="inlineStr">
        <is>
          <t>Derate; temp &gt; limit</t>
        </is>
      </c>
      <c r="J69" s="81" t="n"/>
    </row>
    <row r="70" ht="45.75" customHeight="1" s="65">
      <c r="A70" s="67" t="inlineStr">
        <is>
          <t>R1/R2 power is a rough average (30% / 60% of Notch 8). Run steps in order; each needs the previous thermal data. Thermal limits come from Integral, Jinko and Maxwell (DR-12).</t>
        </is>
      </c>
      <c r="B70" s="81" t="n"/>
      <c r="C70" s="81" t="n"/>
      <c r="D70" s="81" t="n"/>
      <c r="E70" s="81" t="n"/>
      <c r="F70" s="81" t="n"/>
      <c r="G70" s="81" t="n"/>
      <c r="H70" s="81" t="n"/>
      <c r="I70" s="81" t="n"/>
      <c r="J70" s="8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64" min="1" max="1"/>
    <col width="20" customWidth="1" style="64" min="2" max="2"/>
    <col width="48" customWidth="1" style="64" min="3" max="3"/>
    <col width="22" customWidth="1" style="64" min="4" max="4"/>
    <col width="18" customWidth="1" style="64" min="5" max="5"/>
    <col width="30" customWidth="1" style="64" min="6" max="6"/>
    <col width="12" customWidth="1" style="64" min="7" max="7"/>
    <col width="16" customWidth="1" style="64" min="8" max="8"/>
    <col width="14" customWidth="1" style="64" min="9" max="9"/>
  </cols>
  <sheetData>
    <row r="1" ht="45.75" customHeight="1" s="65">
      <c r="A1" s="70" t="inlineStr">
        <is>
          <t>#</t>
        </is>
      </c>
      <c r="B1" s="70" t="inlineStr">
        <is>
          <t>Signal group</t>
        </is>
      </c>
      <c r="C1" s="70" t="inlineStr">
        <is>
          <t>Signals</t>
        </is>
      </c>
      <c r="D1" s="70" t="inlineStr">
        <is>
          <t>Source</t>
        </is>
      </c>
      <c r="E1" s="70" t="inlineStr">
        <is>
          <t>Minimum rate</t>
        </is>
      </c>
      <c r="F1" s="70" t="inlineStr">
        <is>
          <t>Needed for</t>
        </is>
      </c>
      <c r="G1" s="70" t="inlineStr">
        <is>
          <t>Priority</t>
        </is>
      </c>
      <c r="H1" s="70" t="inlineStr">
        <is>
          <t>Owner</t>
        </is>
      </c>
      <c r="I1" s="70" t="inlineStr">
        <is>
          <t>Status</t>
        </is>
      </c>
    </row>
    <row r="2" ht="23.25" customHeight="1" s="65">
      <c r="A2" s="71" t="n">
        <v>1</v>
      </c>
      <c r="B2" s="71" t="inlineStr">
        <is>
          <t>Battery pack</t>
        </is>
      </c>
      <c r="C2" s="71" t="inlineStr">
        <is>
          <t>Pack V, I, power, SOC, SOH, charge/discharge limits</t>
        </is>
      </c>
      <c r="D2" s="71" t="inlineStr">
        <is>
          <t>BCUs / VMS</t>
        </is>
      </c>
      <c r="E2" s="71" t="inlineStr">
        <is>
          <t>10 Hz (V, I); 1 Hz others</t>
        </is>
      </c>
      <c r="F2" s="71" t="inlineStr">
        <is>
          <t>Range, performance, faults</t>
        </is>
      </c>
      <c r="G2" s="71" t="inlineStr">
        <is>
          <t>P1</t>
        </is>
      </c>
      <c r="H2" s="71" t="inlineStr">
        <is>
          <t>Micah</t>
        </is>
      </c>
      <c r="I2" s="71" t="n"/>
    </row>
    <row r="3" ht="23.25" customHeight="1" s="65">
      <c r="A3" s="71" t="n">
        <v>2</v>
      </c>
      <c r="B3" s="71" t="inlineStr">
        <is>
          <t>Cells and strings</t>
        </is>
      </c>
      <c r="C3" s="71" t="inlineStr">
        <is>
          <t>Cell min/max V and T, string currents, string contactor states</t>
        </is>
      </c>
      <c r="D3" s="71" t="inlineStr">
        <is>
          <t>BCUs</t>
        </is>
      </c>
      <c r="E3" s="71" t="inlineStr">
        <is>
          <t>1 Hz</t>
        </is>
      </c>
      <c r="F3" s="71" t="inlineStr">
        <is>
          <t>Faults, thermal trend, balance</t>
        </is>
      </c>
      <c r="G3" s="71" t="inlineStr">
        <is>
          <t>P1</t>
        </is>
      </c>
      <c r="H3" s="71" t="inlineStr">
        <is>
          <t>Micah</t>
        </is>
      </c>
      <c r="I3" s="71" t="n"/>
    </row>
    <row r="4" ht="23.25" customHeight="1" s="65">
      <c r="A4" s="71" t="n">
        <v>3</v>
      </c>
      <c r="B4" s="71" t="inlineStr">
        <is>
          <t>HV switching</t>
        </is>
      </c>
      <c r="C4" s="71" t="inlineStr">
        <is>
          <t>DC-link V, precharge events, contactor commands and feedback</t>
        </is>
      </c>
      <c r="D4" s="71" t="inlineStr">
        <is>
          <t>VMS VIO / LCC</t>
        </is>
      </c>
      <c r="E4" s="71" t="inlineStr">
        <is>
          <t>10 Hz; events</t>
        </is>
      </c>
      <c r="F4" s="71" t="inlineStr">
        <is>
          <t>Faults (F37), cycle count (F53)</t>
        </is>
      </c>
      <c r="G4" s="71" t="inlineStr">
        <is>
          <t>P1</t>
        </is>
      </c>
      <c r="H4" s="71" t="inlineStr">
        <is>
          <t>Mitchell</t>
        </is>
      </c>
      <c r="I4" s="71" t="n"/>
    </row>
    <row r="5" ht="23.25" customHeight="1" s="65">
      <c r="A5" s="71" t="n">
        <v>4</v>
      </c>
      <c r="B5" s="71" t="inlineStr">
        <is>
          <t>Traction</t>
        </is>
      </c>
      <c r="C5" s="71" t="inlineStr">
        <is>
          <t>Notch, reverser, TE request and estimate, chopper DC current, armature and field current per axle</t>
        </is>
      </c>
      <c r="D5" s="71" t="inlineStr">
        <is>
          <t>LCC/TECU (Integral)</t>
        </is>
      </c>
      <c r="E5" s="71" t="inlineStr">
        <is>
          <t>10 Hz</t>
        </is>
      </c>
      <c r="F5" s="71" t="inlineStr">
        <is>
          <t>Performance trend (J-14..J-17)</t>
        </is>
      </c>
      <c r="G5" s="71" t="inlineStr">
        <is>
          <t>P1</t>
        </is>
      </c>
      <c r="H5" s="71" t="inlineStr">
        <is>
          <t>Integral</t>
        </is>
      </c>
      <c r="I5" s="71" t="n"/>
    </row>
    <row r="6" ht="15" customHeight="1" s="65">
      <c r="A6" s="71" t="n">
        <v>5</v>
      </c>
      <c r="B6" s="71" t="inlineStr">
        <is>
          <t>Motion</t>
        </is>
      </c>
      <c r="C6" s="71" t="inlineStr">
        <is>
          <t>Speed (radar / TM2-3), distance, GPS position and time</t>
        </is>
      </c>
      <c r="D6" s="71" t="inlineStr">
        <is>
          <t>LCC, GPS</t>
        </is>
      </c>
      <c r="E6" s="71" t="inlineStr">
        <is>
          <t>1-10 Hz</t>
        </is>
      </c>
      <c r="F6" s="71" t="inlineStr">
        <is>
          <t>kWh/mi, range, ramp tests</t>
        </is>
      </c>
      <c r="G6" s="71" t="inlineStr">
        <is>
          <t>P1</t>
        </is>
      </c>
      <c r="H6" s="71" t="inlineStr">
        <is>
          <t>Jared</t>
        </is>
      </c>
      <c r="I6" s="71" t="n"/>
    </row>
    <row r="7" ht="15" customHeight="1" s="65">
      <c r="A7" s="71" t="n">
        <v>6</v>
      </c>
      <c r="B7" s="71" t="inlineStr">
        <is>
          <t>Adhesion</t>
        </is>
      </c>
      <c r="C7" s="71" t="inlineStr">
        <is>
          <t>Wheel-slip events, sanding</t>
        </is>
      </c>
      <c r="D7" s="71" t="inlineStr">
        <is>
          <t>LCC</t>
        </is>
      </c>
      <c r="E7" s="71" t="inlineStr">
        <is>
          <t>Events</t>
        </is>
      </c>
      <c r="F7" s="71" t="inlineStr">
        <is>
          <t>Switcher acceleration (J-15)</t>
        </is>
      </c>
      <c r="G7" s="71" t="inlineStr">
        <is>
          <t>P2</t>
        </is>
      </c>
      <c r="H7" s="71" t="inlineStr">
        <is>
          <t>Integral</t>
        </is>
      </c>
      <c r="I7" s="71" t="n"/>
    </row>
    <row r="8" ht="15" customHeight="1" s="65">
      <c r="A8" s="71" t="n">
        <v>7</v>
      </c>
      <c r="B8" s="71" t="inlineStr">
        <is>
          <t>Air brake</t>
        </is>
      </c>
      <c r="C8" s="71" t="inlineStr">
        <is>
          <t>Brake pipe, MR, BC pressures; handbrake state; penalty</t>
        </is>
      </c>
      <c r="D8" s="71" t="inlineStr">
        <is>
          <t>CCB-2E / LCC</t>
        </is>
      </c>
      <c r="E8" s="71" t="inlineStr">
        <is>
          <t>1 Hz</t>
        </is>
      </c>
      <c r="F8" s="71" t="inlineStr">
        <is>
          <t>Safety, tow (H-20)</t>
        </is>
      </c>
      <c r="G8" s="71" t="inlineStr">
        <is>
          <t>P1</t>
        </is>
      </c>
      <c r="H8" s="71" t="inlineStr">
        <is>
          <t>Dragan</t>
        </is>
      </c>
      <c r="I8" s="71" t="n"/>
    </row>
    <row r="9" ht="23.25" customHeight="1" s="65">
      <c r="A9" s="71" t="n">
        <v>8</v>
      </c>
      <c r="B9" s="71" t="inlineStr">
        <is>
          <t>Temperatures</t>
        </is>
      </c>
      <c r="C9" s="71" t="inlineStr">
        <is>
          <t>Motor (if sensed), chopper heatsinks, ITV, coolant in/out per loop, ambient</t>
        </is>
      </c>
      <c r="D9" s="71" t="inlineStr">
        <is>
          <t>LCC, PE cooling ctrl, BTMS</t>
        </is>
      </c>
      <c r="E9" s="71" t="inlineStr">
        <is>
          <t>1 Hz</t>
        </is>
      </c>
      <c r="F9" s="71" t="inlineStr">
        <is>
          <t>Thermal trend (J-16, J-17)</t>
        </is>
      </c>
      <c r="G9" s="71" t="inlineStr">
        <is>
          <t>P1</t>
        </is>
      </c>
      <c r="H9" s="71" t="inlineStr">
        <is>
          <t>VJ</t>
        </is>
      </c>
      <c r="I9" s="71" t="n"/>
    </row>
    <row r="10" ht="23.25" customHeight="1" s="65">
      <c r="A10" s="71" t="n">
        <v>9</v>
      </c>
      <c r="B10" s="71" t="inlineStr">
        <is>
          <t>Aux power</t>
        </is>
      </c>
      <c r="C10" s="71" t="inlineStr">
        <is>
          <t>750 V, 72 V, 24 V bus V and I; inverter outputs; compressor and blower state</t>
        </is>
      </c>
      <c r="D10" s="71" t="inlineStr">
        <is>
          <t>Aux converters</t>
        </is>
      </c>
      <c r="E10" s="71" t="inlineStr">
        <is>
          <t>1 Hz</t>
        </is>
      </c>
      <c r="F10" s="71" t="inlineStr">
        <is>
          <t>Aux energy, standby draw</t>
        </is>
      </c>
      <c r="G10" s="71" t="inlineStr">
        <is>
          <t>P1</t>
        </is>
      </c>
      <c r="H10" s="71" t="inlineStr">
        <is>
          <t>Mitchell</t>
        </is>
      </c>
      <c r="I10" s="71" t="n"/>
    </row>
    <row r="11" ht="15" customHeight="1" s="65">
      <c r="A11" s="71" t="n">
        <v>10</v>
      </c>
      <c r="B11" s="71" t="inlineStr">
        <is>
          <t>BTMS</t>
        </is>
      </c>
      <c r="C11" s="71" t="inlineStr">
        <is>
          <t>Mode, power, flow, coolant temperatures</t>
        </is>
      </c>
      <c r="D11" s="71" t="inlineStr">
        <is>
          <t>BTMS (Maxwell)</t>
        </is>
      </c>
      <c r="E11" s="71" t="inlineStr">
        <is>
          <t>1 Hz</t>
        </is>
      </c>
      <c r="F11" s="71" t="inlineStr">
        <is>
          <t>Thermal and energy</t>
        </is>
      </c>
      <c r="G11" s="71" t="inlineStr">
        <is>
          <t>P2</t>
        </is>
      </c>
      <c r="H11" s="71" t="inlineStr">
        <is>
          <t>Jack</t>
        </is>
      </c>
      <c r="I11" s="71" t="n"/>
    </row>
    <row r="12" ht="15" customHeight="1" s="65">
      <c r="A12" s="71" t="n">
        <v>11</v>
      </c>
      <c r="B12" s="71" t="inlineStr">
        <is>
          <t>Charging</t>
        </is>
      </c>
      <c r="C12" s="71" t="inlineStr">
        <is>
          <t>Panto V, I, polarity; ITV in/out power; wayside meter</t>
        </is>
      </c>
      <c r="D12" s="71" t="inlineStr">
        <is>
          <t>Panto ctrl, ITV, site</t>
        </is>
      </c>
      <c r="E12" s="71" t="inlineStr">
        <is>
          <t>10 Hz</t>
        </is>
      </c>
      <c r="F12" s="71" t="inlineStr">
        <is>
          <t>Charging losses (DR-24)</t>
        </is>
      </c>
      <c r="G12" s="71" t="inlineStr">
        <is>
          <t>P1 (from G7)</t>
        </is>
      </c>
      <c r="H12" s="71" t="inlineStr">
        <is>
          <t>Micah</t>
        </is>
      </c>
      <c r="I12" s="71" t="n"/>
    </row>
    <row r="13" ht="23.25" customHeight="1" s="65">
      <c r="A13" s="71" t="n">
        <v>12</v>
      </c>
      <c r="B13" s="71" t="inlineStr">
        <is>
          <t>Faults and overrides</t>
        </is>
      </c>
      <c r="C13" s="71" t="inlineStr">
        <is>
          <t>Every VMS and LCC fault code with class, timestamps; overrides (who, why, test card)</t>
        </is>
      </c>
      <c r="D13" s="71" t="inlineStr">
        <is>
          <t>VMS, LCC</t>
        </is>
      </c>
      <c r="E13" s="71" t="inlineStr">
        <is>
          <t>Events</t>
        </is>
      </c>
      <c r="F13" s="71" t="inlineStr">
        <is>
          <t>Fault triage at JAX; F46, F47</t>
        </is>
      </c>
      <c r="G13" s="71" t="inlineStr">
        <is>
          <t>P1</t>
        </is>
      </c>
      <c r="H13" s="71" t="inlineStr">
        <is>
          <t>Micah + Bailey</t>
        </is>
      </c>
      <c r="I13" s="71" t="n"/>
    </row>
    <row r="14" ht="15" customHeight="1" s="65">
      <c r="A14" s="71" t="n">
        <v>13</v>
      </c>
      <c r="B14" s="71" t="inlineStr">
        <is>
          <t>Comms health</t>
        </is>
      </c>
      <c r="C14" s="71" t="inlineStr">
        <is>
          <t>CAN error frames, bus load, node heartbeats</t>
        </is>
      </c>
      <c r="D14" s="71" t="inlineStr">
        <is>
          <t>ETH-CAN gateway</t>
        </is>
      </c>
      <c r="E14" s="71" t="inlineStr">
        <is>
          <t>1 Hz</t>
        </is>
      </c>
      <c r="F14" s="71" t="inlineStr">
        <is>
          <t>Comm-fault minimization (H-31)</t>
        </is>
      </c>
      <c r="G14" s="71" t="inlineStr">
        <is>
          <t>P1</t>
        </is>
      </c>
      <c r="H14" s="71" t="inlineStr">
        <is>
          <t>Jared</t>
        </is>
      </c>
      <c r="I14" s="71" t="n"/>
    </row>
    <row r="15" ht="15" customHeight="1" s="65">
      <c r="A15" s="71" t="n">
        <v>14</v>
      </c>
      <c r="B15" s="71" t="inlineStr">
        <is>
          <t>Configuration</t>
        </is>
      </c>
      <c r="C15" s="71" t="inlineStr">
        <is>
          <t>SW/FW version manifest per node</t>
        </is>
      </c>
      <c r="D15" s="71" t="inlineStr">
        <is>
          <t>All nodes</t>
        </is>
      </c>
      <c r="E15" s="71" t="inlineStr">
        <is>
          <t>On boot</t>
        </is>
      </c>
      <c r="F15" s="71" t="inlineStr">
        <is>
          <t>Config control (F51)</t>
        </is>
      </c>
      <c r="G15" s="71" t="inlineStr">
        <is>
          <t>P1</t>
        </is>
      </c>
      <c r="H15" s="71" t="inlineStr">
        <is>
          <t>Jared</t>
        </is>
      </c>
      <c r="I15" s="71" t="n"/>
    </row>
    <row r="16" ht="15" customHeight="1" s="65">
      <c r="A16" s="71" t="n">
        <v>15</v>
      </c>
      <c r="B16" s="71" t="inlineStr">
        <is>
          <t>Energy counters</t>
        </is>
      </c>
      <c r="C16" s="71" t="inlineStr">
        <is>
          <t>kWh out, kWh in, Ah throughput</t>
        </is>
      </c>
      <c r="D16" s="71" t="inlineStr">
        <is>
          <t>VMS</t>
        </is>
      </c>
      <c r="E16" s="71" t="inlineStr">
        <is>
          <t>1 Hz, cumulative</t>
        </is>
      </c>
      <c r="F16" s="71" t="inlineStr">
        <is>
          <t>Range model (J-19)</t>
        </is>
      </c>
      <c r="G16" s="71" t="inlineStr">
        <is>
          <t>P1</t>
        </is>
      </c>
      <c r="H16" s="71" t="inlineStr">
        <is>
          <t>Bill</t>
        </is>
      </c>
      <c r="I16" s="71" t="n"/>
    </row>
    <row r="17" ht="15" customHeight="1" s="65">
      <c r="A17" s="71" t="n">
        <v>16</v>
      </c>
      <c r="B17" s="71" t="inlineStr">
        <is>
          <t>Operating context</t>
        </is>
      </c>
      <c r="C17" s="71" t="inlineStr">
        <is>
          <t>Trailing cars and tons per move, crew notes</t>
        </is>
      </c>
      <c r="D17" s="71" t="inlineStr">
        <is>
          <t>Operator tablet / form</t>
        </is>
      </c>
      <c r="E17" s="71" t="inlineStr">
        <is>
          <t>Per move</t>
        </is>
      </c>
      <c r="F17" s="71" t="inlineStr">
        <is>
          <t>Load cases, duty (DR-47/48)</t>
        </is>
      </c>
      <c r="G17" s="71" t="inlineStr">
        <is>
          <t>P1</t>
        </is>
      </c>
      <c r="H17" s="71" t="inlineStr">
        <is>
          <t>Production lead</t>
        </is>
      </c>
      <c r="I17" s="71" t="n"/>
    </row>
    <row r="18" ht="15" customHeight="1" s="65">
      <c r="A18" s="71" t="n">
        <v>17</v>
      </c>
      <c r="B18" s="71" t="inlineStr">
        <is>
          <t>Tow</t>
        </is>
      </c>
      <c r="C18" s="71" t="inlineStr">
        <is>
          <t>3-axis shock peaks, temperatures, GPS</t>
        </is>
      </c>
      <c r="D18" s="71" t="inlineStr">
        <is>
          <t>Standalone logger</t>
        </is>
      </c>
      <c r="E18" s="71" t="inlineStr">
        <is>
          <t>Events; 1 per 10 min</t>
        </is>
      </c>
      <c r="F18" s="71" t="inlineStr">
        <is>
          <t>Tow (T-01)</t>
        </is>
      </c>
      <c r="G18" s="71" t="inlineStr">
        <is>
          <t>P1 (tow only)</t>
        </is>
      </c>
      <c r="H18" s="71" t="inlineStr">
        <is>
          <t>Matan</t>
        </is>
      </c>
      <c r="I18" s="71" t="n"/>
    </row>
    <row r="19" ht="23.25" customHeight="1" s="65">
      <c r="A19" s="71" t="n">
        <v>18</v>
      </c>
      <c r="B19" s="71" t="inlineStr">
        <is>
          <t>TMS actuator status</t>
        </is>
      </c>
      <c r="C19" s="71" t="inlineStr">
        <is>
          <t>PE and condenser fan speed/current, pump speed, MTM compressor status, heater status</t>
        </is>
      </c>
      <c r="D19" s="71" t="inlineStr">
        <is>
          <t>PE cooling ctrl, BTMS</t>
        </is>
      </c>
      <c r="E19" s="71" t="inlineStr">
        <is>
          <t>1 Hz</t>
        </is>
      </c>
      <c r="F19" s="71" t="inlineStr">
        <is>
          <t>Fan-loss detection (F59), J-20</t>
        </is>
      </c>
      <c r="G19" s="71" t="inlineStr">
        <is>
          <t>P1</t>
        </is>
      </c>
      <c r="H19" s="71" t="inlineStr">
        <is>
          <t>VJ</t>
        </is>
      </c>
      <c r="I19" s="71" t="n"/>
    </row>
    <row r="21" ht="15" customHeight="1" s="65">
      <c r="A21" s="75" t="inlineStr">
        <is>
          <t>System requirements (H-32)</t>
        </is>
      </c>
    </row>
    <row r="22" ht="15" customHeight="1" s="65">
      <c r="A22" s="73" t="inlineStr">
        <is>
          <t>Start at first LV power at Huntington; never off during test or service.</t>
        </is>
      </c>
    </row>
    <row r="23" ht="15" customHeight="1" s="65">
      <c r="A23" s="73" t="inlineStr">
        <is>
          <t>Common time base (GPS or NTP) across VMS, LCC and BCUs; alignment &lt; 100 ms.</t>
        </is>
      </c>
    </row>
    <row r="24" ht="15" customHeight="1" s="65">
      <c r="A24" s="73" t="inlineStr">
        <is>
          <t>Onboard store-and-forward &gt;= 7 days; cloud sync via Starlink with LTE fallback (Matan).</t>
        </is>
      </c>
    </row>
    <row r="25" ht="15" customHeight="1" s="65">
      <c r="A25" s="73" t="inlineStr">
        <is>
          <t>Remote access read-only during motion and tow (F33).</t>
        </is>
      </c>
    </row>
    <row r="26" ht="15" customHeight="1" s="65">
      <c r="A26" s="73" t="inlineStr">
        <is>
          <t>P1 = needed from Huntington; P2 = needed by Jacksonville ramp tests.</t>
        </is>
      </c>
    </row>
  </sheetData>
  <autoFilter ref="A1:I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64" min="1" max="1"/>
    <col width="14" customWidth="1" style="64" min="2" max="2"/>
    <col width="22" customWidth="1" style="64" min="3" max="3"/>
    <col width="32" customWidth="1" style="64" min="4" max="4"/>
    <col width="70" customWidth="1" style="64" min="5" max="5"/>
    <col width="20" customWidth="1" style="64" min="6" max="6"/>
    <col width="16" customWidth="1" style="64" min="7" max="7"/>
  </cols>
  <sheetData>
    <row r="1" ht="45.75" customHeight="1" s="65">
      <c r="A1" s="70" t="inlineStr">
        <is>
          <t>Gate</t>
        </is>
      </c>
      <c r="B1" s="70" t="inlineStr">
        <is>
          <t>Site</t>
        </is>
      </c>
      <c r="C1" s="70" t="inlineStr">
        <is>
          <t>Window (draft)</t>
        </is>
      </c>
      <c r="D1" s="70" t="inlineStr">
        <is>
          <t>Purpose</t>
        </is>
      </c>
      <c r="E1" s="70" t="inlineStr">
        <is>
          <t>Exit criteria (all must be true)</t>
        </is>
      </c>
      <c r="F1" s="70" t="inlineStr">
        <is>
          <t>Key tests</t>
        </is>
      </c>
      <c r="G1" s="70" t="inlineStr">
        <is>
          <t>Gate owner</t>
        </is>
      </c>
    </row>
    <row r="2" ht="23.25" customHeight="1" s="65">
      <c r="A2" s="71" t="inlineStr">
        <is>
          <t>G0 Bench</t>
        </is>
      </c>
      <c r="B2" s="71" t="inlineStr">
        <is>
          <t>Cerritos</t>
        </is>
      </c>
      <c r="C2" s="71" t="inlineStr">
        <is>
          <t>Now -&gt; each LRU ships</t>
        </is>
      </c>
      <c r="D2" s="71" t="inlineStr">
        <is>
          <t>Prove logic, sequencing and safety at reduced power</t>
        </is>
      </c>
      <c r="E2" s="71" t="inlineStr">
        <is>
          <t>E-Stop timing defined and measured; precharge proven on cap bank; BMS fault reactions proven; LCC SIL passed; harness IR passed; RTV works</t>
        </is>
      </c>
      <c r="F2" s="71" t="inlineStr">
        <is>
          <t>C-01..C-18</t>
        </is>
      </c>
      <c r="G2" s="71" t="inlineStr">
        <is>
          <t>Micah</t>
        </is>
      </c>
    </row>
    <row r="3" ht="23.25" customHeight="1" s="65">
      <c r="A3" s="71" t="inlineStr">
        <is>
          <t>G1 Receive &amp; build</t>
        </is>
      </c>
      <c r="B3" s="71" t="inlineStr">
        <is>
          <t>Huntington</t>
        </is>
      </c>
      <c r="C3" s="71" t="inlineStr">
        <is>
          <t>Oct 12 -&gt; early Nov</t>
        </is>
      </c>
      <c r="D3" s="71" t="inlineStr">
        <is>
          <t>Everything installed and wired to print</t>
        </is>
      </c>
      <c r="E3" s="71" t="inlineStr">
        <is>
          <t>Receiving clean; 100% continuity; wiring audit signed (Dragan a); SW/FW loaded with signed version manifest (Dragan c); LV power-up clean; full node census</t>
        </is>
      </c>
      <c r="F3" s="71" t="inlineStr">
        <is>
          <t>H-01..H-04, H-30</t>
        </is>
      </c>
      <c r="G3" s="71" t="inlineStr">
        <is>
          <t>Production lead</t>
        </is>
      </c>
    </row>
    <row r="4" ht="34.5" customHeight="1" s="65">
      <c r="A4" s="71" t="inlineStr">
        <is>
          <t>G2 HV energize</t>
        </is>
      </c>
      <c r="B4" s="71" t="inlineStr">
        <is>
          <t>Huntington</t>
        </is>
      </c>
      <c r="C4" s="71" t="inlineStr">
        <is>
          <t>Early-mid Nov</t>
        </is>
      </c>
      <c r="D4" s="71" t="inlineStr">
        <is>
          <t>Full voltage, no motion</t>
        </is>
      </c>
      <c r="E4" s="71" t="inlineStr">
        <is>
          <t>System Megger passed before first HV (Dragan b); data logging live from first power; strings online one by one; isolation baseline; precharge at full V; aux chain runs; E-Stop at full V; brakes pass FRA tests</t>
        </is>
      </c>
      <c r="F4" s="71" t="inlineStr">
        <is>
          <t>H-29, H-32, H-05..H-11</t>
        </is>
      </c>
      <c r="G4" s="71" t="inlineStr">
        <is>
          <t>Mitchell</t>
        </is>
      </c>
    </row>
    <row r="5" ht="34.5" customHeight="1" s="65">
      <c r="A5" s="72" t="inlineStr">
        <is>
          <t>G3 Huntington readiness + first movement (REQUIRED)</t>
        </is>
      </c>
      <c r="B5" s="72" t="inlineStr">
        <is>
          <t>Huntington</t>
        </is>
      </c>
      <c r="C5" s="72" t="inlineStr">
        <is>
          <t>Before tow</t>
        </is>
      </c>
      <c r="D5" s="72" t="inlineStr">
        <is>
          <t>Dragan exit: system idles cleanly and moves both ways</t>
        </is>
      </c>
      <c r="E5" s="72" t="inlineStr">
        <is>
          <t>Idle power-on with zero Class A faults and comm faults minimized; every Class B listed with override plan and JAX owner; creep per axle; first movement forward and reverse with stops; all overrides logged</t>
        </is>
      </c>
      <c r="F5" s="72" t="inlineStr">
        <is>
          <t>H-31, H-12, H-13</t>
        </is>
      </c>
      <c r="G5" s="72" t="inlineStr">
        <is>
          <t>Dragan + Bill</t>
        </is>
      </c>
    </row>
    <row r="6" ht="23.25" customHeight="1" s="65">
      <c r="A6" s="72" t="inlineStr">
        <is>
          <t>G3+ Optional extended pre-check</t>
        </is>
      </c>
      <c r="B6" s="72" t="inlineStr">
        <is>
          <t>Huntington</t>
        </is>
      </c>
      <c r="C6" s="72" t="inlineStr">
        <is>
          <t>Before tow, if track time allows</t>
        </is>
      </c>
      <c r="D6" s="72" t="inlineStr">
        <is>
          <t>Find drivetrain problems where Integral support is</t>
        </is>
      </c>
      <c r="E6" s="72" t="inlineStr">
        <is>
          <t>10 mph x 20 min; thermal soak; slip control; fault injection; early energy baseline</t>
        </is>
      </c>
      <c r="F6" s="72" t="inlineStr">
        <is>
          <t>H-14..H-18, H-21</t>
        </is>
      </c>
      <c r="G6" s="72" t="inlineStr">
        <is>
          <t>Bill</t>
        </is>
      </c>
    </row>
    <row r="7" ht="57" customHeight="1" s="65">
      <c r="A7" s="71" t="inlineStr">
        <is>
          <t>G4 Dead-in-tow ready</t>
        </is>
      </c>
      <c r="B7" s="71" t="inlineStr">
        <is>
          <t>Huntington</t>
        </is>
      </c>
      <c r="C7" s="71" t="inlineStr">
        <is>
          <t>Before pickup (mid-Nov target)</t>
        </is>
      </c>
      <c r="D7" s="71" t="inlineStr">
        <is>
          <t>Safe to haul in a CSX train</t>
        </is>
      </c>
      <c r="E7" s="71" t="inlineStr">
        <is>
          <t>Dead-engine brakes work (CCB-2E, no compressor needed); electric handbrake manually operable; motors proven dead; MU isolated; running gear lubed; HV isolated and verified (grounding switch padlock optional); SOC in tow window; pantos locked or not fitted; 72 V lasts the trip; emergency sheet approved; CSX acceptance signed (229.9 movement)</t>
        </is>
      </c>
      <c r="F7" s="71" t="inlineStr">
        <is>
          <t>H-19, H-20, H-22..H-28, H-33</t>
        </is>
      </c>
      <c r="G7" s="71" t="inlineStr">
        <is>
          <t>Dragan + Bill</t>
        </is>
      </c>
    </row>
    <row r="8" ht="15" customHeight="1" s="65">
      <c r="A8" s="71" t="inlineStr">
        <is>
          <t>G5 Tow</t>
        </is>
      </c>
      <c r="B8" s="71" t="inlineStr">
        <is>
          <t>In CSX train</t>
        </is>
      </c>
      <c r="C8" s="71" t="inlineStr">
        <is>
          <t>3 days - 1.5 weeks</t>
        </is>
      </c>
      <c r="D8" s="71" t="inlineStr">
        <is>
          <t>Arrive safely</t>
        </is>
      </c>
      <c r="E8" s="71" t="inlineStr">
        <is>
          <t>No telemetry alerts; logger within limits</t>
        </is>
      </c>
      <c r="F8" s="71" t="inlineStr">
        <is>
          <t>T-01</t>
        </is>
      </c>
      <c r="G8" s="71" t="inlineStr">
        <is>
          <t>Bill / Matan</t>
        </is>
      </c>
    </row>
    <row r="9" ht="23.25" customHeight="1" s="65">
      <c r="A9" s="71" t="inlineStr">
        <is>
          <t>G6 Recommission + Showcase 1</t>
        </is>
      </c>
      <c r="B9" s="71" t="inlineStr">
        <is>
          <t>Jacksonville</t>
        </is>
      </c>
      <c r="C9" s="71" t="inlineStr">
        <is>
          <t>Arrival + ~1 week</t>
        </is>
      </c>
      <c r="D9" s="71" t="inlineStr">
        <is>
          <t>Undo tow config; prove wheels turning</t>
        </is>
      </c>
      <c r="E9" s="71" t="inlineStr">
        <is>
          <t>Inspection clean; logger read; IR &gt;= 50% of H-29 baseline; power-up + E-Stop regression; Huntington Class B faults closed or re-classified; 10 mph x 20 min</t>
        </is>
      </c>
      <c r="F9" s="71" t="inlineStr">
        <is>
          <t>J-01, J-02, J-02B</t>
        </is>
      </c>
      <c r="G9" s="71" t="inlineStr">
        <is>
          <t>Production lead + Bill</t>
        </is>
      </c>
    </row>
    <row r="10" ht="23.25" customHeight="1" s="65">
      <c r="A10" s="71" t="inlineStr">
        <is>
          <t>G7 Charging infra</t>
        </is>
      </c>
      <c r="B10" s="71" t="inlineStr">
        <is>
          <t>Jacksonville</t>
        </is>
      </c>
      <c r="C10" s="71" t="inlineStr">
        <is>
          <t>Late Nov - mid Dec</t>
        </is>
      </c>
      <c r="D10" s="71" t="inlineStr">
        <is>
          <t>Wire and charger ready, pantos fitted</t>
        </is>
      </c>
      <c r="E10" s="71" t="inlineStr">
        <is>
          <t>Site acceptance signed; pantos meet dead wire; live wire sensing + polarity OK; HSCB close/trip and roof-bus interlock verified</t>
        </is>
      </c>
      <c r="F10" s="71" t="inlineStr">
        <is>
          <t>J-03..J-05, J-23, J-24</t>
        </is>
      </c>
      <c r="G10" s="71" t="inlineStr">
        <is>
          <t>Oren + Micah</t>
        </is>
      </c>
    </row>
    <row r="11" ht="23.25" customHeight="1" s="65">
      <c r="A11" s="71" t="inlineStr">
        <is>
          <t>G8 Static charge</t>
        </is>
      </c>
      <c r="B11" s="71" t="inlineStr">
        <is>
          <t>Jacksonville</t>
        </is>
      </c>
      <c r="C11" s="71" t="inlineStr">
        <is>
          <t>Dec</t>
        </is>
      </c>
      <c r="D11" s="71" t="inlineStr">
        <is>
          <t>Charge parked at rising power</t>
        </is>
      </c>
      <c r="E11" s="71" t="inlineStr">
        <is>
          <t>Power ramp to cap with temperatures OK; handshake stop both ways; losses measured</t>
        </is>
      </c>
      <c r="F11" s="71" t="inlineStr">
        <is>
          <t>J-06, J-07</t>
        </is>
      </c>
      <c r="G11" s="71" t="inlineStr">
        <is>
          <t>Micah + Integral</t>
        </is>
      </c>
    </row>
    <row r="12" ht="15" customHeight="1" s="65">
      <c r="A12" s="71" t="inlineStr">
        <is>
          <t>G9 Dynamic charge</t>
        </is>
      </c>
      <c r="B12" s="71" t="inlineStr">
        <is>
          <t>Jacksonville</t>
        </is>
      </c>
      <c r="C12" s="71" t="inlineStr">
        <is>
          <t>Dec - mid Jan</t>
        </is>
      </c>
      <c r="D12" s="71" t="inlineStr">
        <is>
          <t>SHOWCASE 2 proven</t>
        </is>
      </c>
      <c r="E12" s="71" t="inlineStr">
        <is>
          <t>Moving contact clean; segment A and B passed; E-Stop under load while moving</t>
        </is>
      </c>
      <c r="F12" s="71" t="inlineStr">
        <is>
          <t>J-08..J-10</t>
        </is>
      </c>
      <c r="G12" s="71" t="inlineStr">
        <is>
          <t>Bill</t>
        </is>
      </c>
    </row>
    <row r="13" ht="23.25" customHeight="1" s="65">
      <c r="A13" s="71" t="inlineStr">
        <is>
          <t>G10 Operate</t>
        </is>
      </c>
      <c r="B13" s="71" t="inlineStr">
        <is>
          <t>Jacksonville</t>
        </is>
      </c>
      <c r="C13" s="71" t="inlineStr">
        <is>
          <t>~Jan 20 -&gt; Feb 20</t>
        </is>
      </c>
      <c r="D13" s="71" t="inlineStr">
        <is>
          <t>30 days of CSX operation, performance trending, then showcase</t>
        </is>
      </c>
      <c r="E13" s="71" t="inlineStr">
        <is>
          <t>No open safety faults; 3 clean rehearsals; ramp tests J-14..J-19 run and trended (non-gating)</t>
        </is>
      </c>
      <c r="F13" s="71" t="inlineStr">
        <is>
          <t>J-11, J-12, J-14..J-21</t>
        </is>
      </c>
      <c r="G13" s="71" t="inlineStr">
        <is>
          <t>Production lead</t>
        </is>
      </c>
    </row>
    <row r="14" ht="23.25" customHeight="1" s="65">
      <c r="A14" s="72" t="inlineStr">
        <is>
          <t>P1 CSX 90-day evaluation (post-demo)</t>
        </is>
      </c>
      <c r="B14" s="72" t="inlineStr">
        <is>
          <t>Jacksonville / CSX</t>
        </is>
      </c>
      <c r="C14" s="72" t="inlineStr">
        <is>
          <t>Showcase -&gt; +90 days</t>
        </is>
      </c>
      <c r="D14" s="72" t="inlineStr">
        <is>
          <t>Converge to diesel-like performance</t>
        </is>
      </c>
      <c r="E14" s="72" t="inlineStr">
        <is>
          <t>Notch 8 for 15 min; continuous pull at 10 mph; availability trend agreed with CSX; daily duty on one charge per shift-day; MCS integrated if retained</t>
        </is>
      </c>
      <c r="F14" s="72" t="inlineStr">
        <is>
          <t>P-01..P-05, J-13</t>
        </is>
      </c>
      <c r="G14" s="72" t="inlineStr">
        <is>
          <t>Daphna + Bill</t>
        </is>
      </c>
    </row>
  </sheetData>
  <autoFilter ref="A1:G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64" min="1" max="1"/>
    <col width="12" customWidth="1" style="64" min="2" max="2"/>
    <col width="62" customWidth="1" style="64" min="3" max="3"/>
    <col width="22" customWidth="1" style="64" min="4" max="4"/>
    <col width="20" customWidth="1" style="64" min="5" max="5"/>
    <col width="26" customWidth="1" style="64" min="6" max="6"/>
    <col width="16" customWidth="1" style="64" min="7" max="7"/>
    <col width="10" customWidth="1" style="64" min="8" max="8"/>
  </cols>
  <sheetData>
    <row r="1" ht="45.75" customHeight="1" s="65">
      <c r="A1" s="70" t="inlineStr">
        <is>
          <t>Site</t>
        </is>
      </c>
      <c r="B1" s="70" t="inlineStr">
        <is>
          <t>Category</t>
        </is>
      </c>
      <c r="C1" s="70" t="inlineStr">
        <is>
          <t>Item</t>
        </is>
      </c>
      <c r="D1" s="70" t="inlineStr">
        <is>
          <t>Why / which tests</t>
        </is>
      </c>
      <c r="E1" s="70" t="inlineStr">
        <is>
          <t>Quantity / spec</t>
        </is>
      </c>
      <c r="F1" s="70" t="inlineStr">
        <is>
          <t>Lead time / cost note</t>
        </is>
      </c>
      <c r="G1" s="70" t="inlineStr">
        <is>
          <t>Owner</t>
        </is>
      </c>
      <c r="H1" s="70" t="inlineStr">
        <is>
          <t>Have it? (Y/N)</t>
        </is>
      </c>
    </row>
    <row r="2" ht="23.25" customHeight="1" s="65">
      <c r="A2" s="71" t="inlineStr">
        <is>
          <t>Huntington</t>
        </is>
      </c>
      <c r="B2" s="71" t="inlineStr">
        <is>
          <t>People</t>
        </is>
      </c>
      <c r="C2" s="71" t="inlineStr">
        <is>
          <t>5 electricians (from Oct 12) + 1 HV-qualified Voltify engineer on every energized shift</t>
        </is>
      </c>
      <c r="D2" s="71" t="inlineStr">
        <is>
          <t>All H tests</t>
        </is>
      </c>
      <c r="E2" s="71" t="inlineStr">
        <is>
          <t>5 + 1 per shift</t>
        </is>
      </c>
      <c r="F2" s="71" t="inlineStr">
        <is>
          <t>Confirmed in 10/6 stand-up</t>
        </is>
      </c>
      <c r="G2" s="71" t="inlineStr">
        <is>
          <t>Production lead</t>
        </is>
      </c>
      <c r="H2" s="71" t="n"/>
    </row>
    <row r="3" ht="23.25" customHeight="1" s="65">
      <c r="A3" s="71" t="inlineStr">
        <is>
          <t>Huntington</t>
        </is>
      </c>
      <c r="B3" s="71" t="inlineStr">
        <is>
          <t>People</t>
        </is>
      </c>
      <c r="C3" s="71" t="inlineStr">
        <is>
          <t>Integral field engineer for chopper/LCC first power and motor isolation proof</t>
        </is>
      </c>
      <c r="D3" s="71" t="inlineStr">
        <is>
          <t>H-07, H-11..H-16, H-25, H-27</t>
        </is>
      </c>
      <c r="E3" s="71" t="inlineStr">
        <is>
          <t>1, ~2 weeks</t>
        </is>
      </c>
      <c r="F3" s="71" t="inlineStr">
        <is>
          <t>Book now</t>
        </is>
      </c>
      <c r="G3" s="71" t="inlineStr">
        <is>
          <t>Jonathan</t>
        </is>
      </c>
      <c r="H3" s="71" t="n"/>
    </row>
    <row r="4" ht="15" customHeight="1" s="65">
      <c r="A4" s="71" t="inlineStr">
        <is>
          <t>Huntington</t>
        </is>
      </c>
      <c r="B4" s="71" t="inlineStr">
        <is>
          <t>People</t>
        </is>
      </c>
      <c r="C4" s="71" t="inlineStr">
        <is>
          <t>CSX carman / mechanical inspector; FRA inspector</t>
        </is>
      </c>
      <c r="D4" s="71" t="inlineStr">
        <is>
          <t>H-23</t>
        </is>
      </c>
      <c r="E4" s="71" t="inlineStr">
        <is>
          <t>Book date</t>
        </is>
      </c>
      <c r="F4" s="71" t="inlineStr">
        <is>
          <t>Long lead; start now</t>
        </is>
      </c>
      <c r="G4" s="71" t="inlineStr">
        <is>
          <t>Dragan / Daphna</t>
        </is>
      </c>
      <c r="H4" s="71" t="n"/>
    </row>
    <row r="5" ht="15" customHeight="1" s="65">
      <c r="A5" s="71" t="inlineStr">
        <is>
          <t>Huntington</t>
        </is>
      </c>
      <c r="B5" s="71" t="inlineStr">
        <is>
          <t>People</t>
        </is>
      </c>
      <c r="C5" s="71" t="inlineStr">
        <is>
          <t>Qualified engineer + conductor for shop moves (pre-check, H-25 mule move)</t>
        </is>
      </c>
      <c r="D5" s="71" t="inlineStr">
        <is>
          <t>H-12..H-14, H-25</t>
        </is>
      </c>
      <c r="E5" s="71" t="inlineStr">
        <is>
          <t>1 + 1</t>
        </is>
      </c>
      <c r="F5" s="71" t="inlineStr">
        <is>
          <t>Via HRR/CSX</t>
        </is>
      </c>
      <c r="G5" s="71" t="inlineStr">
        <is>
          <t>Dragan</t>
        </is>
      </c>
      <c r="H5" s="71" t="n"/>
    </row>
    <row r="6" ht="23.25" customHeight="1" s="65">
      <c r="A6" s="71" t="inlineStr">
        <is>
          <t>Huntington</t>
        </is>
      </c>
      <c r="B6" s="71" t="inlineStr">
        <is>
          <t>Track</t>
        </is>
      </c>
      <c r="C6" s="71" t="inlineStr">
        <is>
          <t>Shop/yard track and track authority for creep and first movement fwd/rev (required); optional ~3.3 mi for 20-min pre-check</t>
        </is>
      </c>
      <c r="D6" s="71" t="inlineStr">
        <is>
          <t>H-12, H-13 (required); H-14 (optional)</t>
        </is>
      </c>
      <c r="E6" s="71" t="inlineStr">
        <is>
          <t>Optional</t>
        </is>
      </c>
      <c r="F6" s="71" t="inlineStr">
        <is>
          <t>Confirm with HRR</t>
        </is>
      </c>
      <c r="G6" s="71" t="inlineStr">
        <is>
          <t>Dragan</t>
        </is>
      </c>
      <c r="H6" s="71" t="n"/>
    </row>
    <row r="7" ht="15" customHeight="1" s="65">
      <c r="A7" s="71" t="inlineStr">
        <is>
          <t>Huntington</t>
        </is>
      </c>
      <c r="B7" s="71" t="inlineStr">
        <is>
          <t>Equipment</t>
        </is>
      </c>
      <c r="C7" s="71" t="inlineStr">
        <is>
          <t>Shop mule or switcher to move the dead loco for the back-EMF test</t>
        </is>
      </c>
      <c r="D7" s="71" t="inlineStr">
        <is>
          <t>H-25</t>
        </is>
      </c>
      <c r="E7" s="71" t="inlineStr">
        <is>
          <t>1</t>
        </is>
      </c>
      <c r="F7" s="71" t="n"/>
      <c r="G7" s="71" t="inlineStr">
        <is>
          <t>Dragan</t>
        </is>
      </c>
      <c r="H7" s="71" t="n"/>
    </row>
    <row r="8" ht="23.25" customHeight="1" s="65">
      <c r="A8" s="71" t="inlineStr">
        <is>
          <t>Huntington</t>
        </is>
      </c>
      <c r="B8" s="71" t="inlineStr">
        <is>
          <t>Equipment</t>
        </is>
      </c>
      <c r="C8" s="71" t="inlineStr">
        <is>
          <t>Yard air or lead unit + single-car air brake test device; NYAB CCB2 dead-in-tow procedure</t>
        </is>
      </c>
      <c r="D8" s="71" t="inlineStr">
        <is>
          <t>H-20, H-23</t>
        </is>
      </c>
      <c r="E8" s="71" t="inlineStr">
        <is>
          <t>1</t>
        </is>
      </c>
      <c r="F8" s="71" t="n"/>
      <c r="G8" s="71" t="inlineStr">
        <is>
          <t>Dragan</t>
        </is>
      </c>
      <c r="H8" s="71" t="n"/>
    </row>
    <row r="9" ht="15" customHeight="1" s="65">
      <c r="A9" s="71" t="inlineStr">
        <is>
          <t>Huntington</t>
        </is>
      </c>
      <c r="B9" s="71" t="inlineStr">
        <is>
          <t>Equipment</t>
        </is>
      </c>
      <c r="C9" s="71" t="inlineStr">
        <is>
          <t>MU test box + dummy/isolation receptacle plugs</t>
        </is>
      </c>
      <c r="D9" s="71" t="inlineStr">
        <is>
          <t>H-27</t>
        </is>
      </c>
      <c r="E9" s="71" t="inlineStr">
        <is>
          <t>1</t>
        </is>
      </c>
      <c r="F9" s="71" t="n"/>
      <c r="G9" s="71" t="inlineStr">
        <is>
          <t>Integral</t>
        </is>
      </c>
      <c r="H9" s="71" t="n"/>
    </row>
    <row r="10" ht="15" customHeight="1" s="65">
      <c r="A10" s="71" t="inlineStr">
        <is>
          <t>Huntington</t>
        </is>
      </c>
      <c r="B10" s="71" t="inlineStr">
        <is>
          <t>Consumables</t>
        </is>
      </c>
      <c r="C10" s="71" t="inlineStr">
        <is>
          <t>TM suspension bearing oil, gear case lube, journal checks</t>
        </is>
      </c>
      <c r="D10" s="71" t="inlineStr">
        <is>
          <t>H-26</t>
        </is>
      </c>
      <c r="E10" s="71" t="inlineStr">
        <is>
          <t>Per truck</t>
        </is>
      </c>
      <c r="F10" s="71" t="n"/>
      <c r="G10" s="71" t="inlineStr">
        <is>
          <t>Dragan</t>
        </is>
      </c>
      <c r="H10" s="71" t="n"/>
    </row>
    <row r="11" ht="23.25" customHeight="1" s="65">
      <c r="A11" s="71" t="inlineStr">
        <is>
          <t>Huntington</t>
        </is>
      </c>
      <c r="B11" s="71" t="inlineStr">
        <is>
          <t>Tow kit</t>
        </is>
      </c>
      <c r="C11" s="71" t="inlineStr">
        <is>
          <t>Padlocks/hasps for grounding switch and HV doors (optional per Dragan); DEAD-IN-TOW tags; placards; printed emergency response sheet</t>
        </is>
      </c>
      <c r="D11" s="71" t="inlineStr">
        <is>
          <t>H-24, H-28</t>
        </is>
      </c>
      <c r="E11" s="71" t="inlineStr">
        <is>
          <t>Set</t>
        </is>
      </c>
      <c r="F11" s="71" t="n"/>
      <c r="G11" s="71" t="inlineStr">
        <is>
          <t>Bill</t>
        </is>
      </c>
      <c r="H11" s="71" t="n"/>
    </row>
    <row r="12" ht="23.25" customHeight="1" s="65">
      <c r="A12" s="71" t="inlineStr">
        <is>
          <t>Huntington</t>
        </is>
      </c>
      <c r="B12" s="71" t="inlineStr">
        <is>
          <t>Tow kit</t>
        </is>
      </c>
      <c r="C12" s="71" t="inlineStr">
        <is>
          <t>Battery-powered shock + temperature logger (GPS, cellular alert preferred); optional smoke sensor</t>
        </is>
      </c>
      <c r="D12" s="71" t="inlineStr">
        <is>
          <t>H-24, T-01</t>
        </is>
      </c>
      <c r="E12" s="71" t="inlineStr">
        <is>
          <t>1-2</t>
        </is>
      </c>
      <c r="F12" s="71" t="inlineStr">
        <is>
          <t>Order now</t>
        </is>
      </c>
      <c r="G12" s="71" t="inlineStr">
        <is>
          <t>Matan</t>
        </is>
      </c>
      <c r="H12" s="71" t="n"/>
    </row>
    <row r="13" ht="23.25" customHeight="1" s="65">
      <c r="A13" s="71" t="inlineStr">
        <is>
          <t>Huntington</t>
        </is>
      </c>
      <c r="B13" s="71" t="inlineStr">
        <is>
          <t>Power</t>
        </is>
      </c>
      <c r="C13" s="71" t="inlineStr">
        <is>
          <t>HV DC shop supply + 480 V 3-ph (only if packs arrive below tow SOC window or pre-check drains them)</t>
        </is>
      </c>
      <c r="D13" s="71" t="inlineStr">
        <is>
          <t>H-18</t>
        </is>
      </c>
      <c r="E13" s="71" t="inlineStr">
        <is>
          <t>kW sets dwell</t>
        </is>
      </c>
      <c r="F13" s="71" t="inlineStr">
        <is>
          <t>Optional now</t>
        </is>
      </c>
      <c r="G13" s="71" t="inlineStr">
        <is>
          <t>Mitchell</t>
        </is>
      </c>
      <c r="H13" s="71" t="n"/>
    </row>
    <row r="14" ht="15" customHeight="1" s="65">
      <c r="A14" s="71" t="inlineStr">
        <is>
          <t>Huntington</t>
        </is>
      </c>
      <c r="B14" s="71" t="inlineStr">
        <is>
          <t>Power</t>
        </is>
      </c>
      <c r="C14" s="71" t="inlineStr">
        <is>
          <t>72 V battery charger; 650 Ah starter battery fully charged before tow</t>
        </is>
      </c>
      <c r="D14" s="71" t="inlineStr">
        <is>
          <t>H-03, H-19</t>
        </is>
      </c>
      <c r="E14" s="71" t="inlineStr">
        <is>
          <t>1</t>
        </is>
      </c>
      <c r="F14" s="71" t="n"/>
      <c r="G14" s="71" t="inlineStr">
        <is>
          <t>Mitchell</t>
        </is>
      </c>
      <c r="H14" s="71" t="n"/>
    </row>
    <row r="15" ht="34.5" customHeight="1" s="65">
      <c r="A15" s="71" t="inlineStr">
        <is>
          <t>Huntington</t>
        </is>
      </c>
      <c r="B15" s="71" t="inlineStr">
        <is>
          <t>Test gear</t>
        </is>
      </c>
      <c r="C15" s="71" t="inlineStr">
        <is>
          <t>Isolated 8-ch scope + 1,500 V probes; 5 kV insulation tester with shorting leads and discharge stick (H-29); 2,000 A DC clamps; CAT IV DMMs; CAN analyzers with DBC R2 + VPN; IR camera; thermocouple DAQ</t>
        </is>
      </c>
      <c r="D15" s="71" t="inlineStr">
        <is>
          <t>H-02..H-25</t>
        </is>
      </c>
      <c r="E15" s="71" t="inlineStr">
        <is>
          <t>1 set</t>
        </is>
      </c>
      <c r="F15" s="71" t="inlineStr">
        <is>
          <t>Kit travels with loco (separately, not in the dead unit)</t>
        </is>
      </c>
      <c r="G15" s="71" t="inlineStr">
        <is>
          <t>Production lead</t>
        </is>
      </c>
      <c r="H15" s="71" t="n"/>
    </row>
    <row r="16" ht="23.25" customHeight="1" s="65">
      <c r="A16" s="71" t="inlineStr">
        <is>
          <t>Huntington</t>
        </is>
      </c>
      <c r="B16" s="71" t="inlineStr">
        <is>
          <t>Mechanical</t>
        </is>
      </c>
      <c r="C16" s="71" t="inlineStr">
        <is>
          <t>Calibrated torque wrenches + torque-seal paint; pack restraint hardware; coolant fill cart</t>
        </is>
      </c>
      <c r="D16" s="71" t="inlineStr">
        <is>
          <t>H-24</t>
        </is>
      </c>
      <c r="E16" s="71" t="inlineStr">
        <is>
          <t>Set</t>
        </is>
      </c>
      <c r="F16" s="71" t="n"/>
      <c r="G16" s="71" t="inlineStr">
        <is>
          <t>Production lead</t>
        </is>
      </c>
      <c r="H16" s="71" t="n"/>
    </row>
    <row r="17" ht="23.25" customHeight="1" s="65">
      <c r="A17" s="71" t="inlineStr">
        <is>
          <t>Huntington</t>
        </is>
      </c>
      <c r="B17" s="71" t="inlineStr">
        <is>
          <t>Safety</t>
        </is>
      </c>
      <c r="C17" s="71" t="inlineStr">
        <is>
          <t>HV PPE (Class 0 and 2 gloves, arc-flash kit, insulated tools), LOTO kits; Li-ion fire plan with local FD</t>
        </is>
      </c>
      <c r="D17" s="71" t="inlineStr">
        <is>
          <t>All HV work</t>
        </is>
      </c>
      <c r="E17" s="71" t="inlineStr">
        <is>
          <t>Per person</t>
        </is>
      </c>
      <c r="F17" s="71" t="inlineStr">
        <is>
          <t>Before first HV</t>
        </is>
      </c>
      <c r="G17" s="71" t="inlineStr">
        <is>
          <t>Production lead</t>
        </is>
      </c>
      <c r="H17" s="71" t="n"/>
    </row>
    <row r="18" ht="23.25" customHeight="1" s="65">
      <c r="A18" s="71" t="inlineStr">
        <is>
          <t>Huntington</t>
        </is>
      </c>
      <c r="B18" s="71" t="inlineStr">
        <is>
          <t>Access</t>
        </is>
      </c>
      <c r="C18" s="71" t="inlineStr">
        <is>
          <t>CSX hazmat review of the battery-equipped dead unit; routing instructions (speed, position, no-hump)</t>
        </is>
      </c>
      <c r="D18" s="71" t="inlineStr">
        <is>
          <t>H-23, H-28</t>
        </is>
      </c>
      <c r="E18" s="71" t="n"/>
      <c r="F18" s="71" t="inlineStr">
        <is>
          <t>Start now</t>
        </is>
      </c>
      <c r="G18" s="71" t="inlineStr">
        <is>
          <t>Daphna</t>
        </is>
      </c>
      <c r="H18" s="71" t="n"/>
    </row>
    <row r="19" ht="15" customHeight="1" s="65">
      <c r="A19" s="71" t="inlineStr">
        <is>
          <t>Jacksonville</t>
        </is>
      </c>
      <c r="B19" s="71" t="inlineStr">
        <is>
          <t>People</t>
        </is>
      </c>
      <c r="C19" s="71" t="inlineStr">
        <is>
          <t>HV engineer + Integral support for recommission and ITV first power</t>
        </is>
      </c>
      <c r="D19" s="71" t="inlineStr">
        <is>
          <t>J-01..J-07</t>
        </is>
      </c>
      <c r="E19" s="71" t="inlineStr">
        <is>
          <t>1 + 1</t>
        </is>
      </c>
      <c r="F19" s="71" t="n"/>
      <c r="G19" s="71" t="inlineStr">
        <is>
          <t>Micah / Jonathan</t>
        </is>
      </c>
      <c r="H19" s="71" t="n"/>
    </row>
    <row r="20" ht="15" customHeight="1" s="65">
      <c r="A20" s="71" t="inlineStr">
        <is>
          <t>Jacksonville</t>
        </is>
      </c>
      <c r="B20" s="71" t="inlineStr">
        <is>
          <t>Track</t>
        </is>
      </c>
      <c r="C20" s="71" t="inlineStr">
        <is>
          <t>~3.3 mi of usable track (or repeated passes) for Showcase 1</t>
        </is>
      </c>
      <c r="D20" s="71" t="inlineStr">
        <is>
          <t>J-02B</t>
        </is>
      </c>
      <c r="E20" s="71" t="n"/>
      <c r="F20" s="71" t="inlineStr">
        <is>
          <t>Now needed here</t>
        </is>
      </c>
      <c r="G20" s="71" t="inlineStr">
        <is>
          <t>Daphna</t>
        </is>
      </c>
      <c r="H20" s="71" t="n"/>
    </row>
    <row r="21" ht="23.25" customHeight="1" s="65">
      <c r="A21" s="71" t="inlineStr">
        <is>
          <t>Jacksonville</t>
        </is>
      </c>
      <c r="B21" s="71" t="inlineStr">
        <is>
          <t>Infrastructure</t>
        </is>
      </c>
      <c r="C21" s="71" t="inlineStr">
        <is>
          <t>AES wayside charger commissioned; energized contact wire; mast + insulators; microgrid commissioned</t>
        </is>
      </c>
      <c r="D21" s="71" t="inlineStr">
        <is>
          <t>J-03..J-10</t>
        </is>
      </c>
      <c r="E21" s="71" t="inlineStr">
        <is>
          <t>Length under wire TBD</t>
        </is>
      </c>
      <c r="F21" s="71" t="inlineStr">
        <is>
          <t>AES late Nov-mid Dec</t>
        </is>
      </c>
      <c r="G21" s="71" t="inlineStr">
        <is>
          <t>Oren</t>
        </is>
      </c>
      <c r="H21" s="71" t="n"/>
    </row>
    <row r="22" ht="23.25" customHeight="1" s="65">
      <c r="A22" s="71" t="inlineStr">
        <is>
          <t>Jacksonville</t>
        </is>
      </c>
      <c r="B22" s="71" t="inlineStr">
        <is>
          <t>Test gear</t>
        </is>
      </c>
      <c r="C22" s="71" t="inlineStr">
        <is>
          <t>Wayside revenue-grade energy meter; high-rate DAQ; contact-force gauge; man-lift with fall protection</t>
        </is>
      </c>
      <c r="D22" s="71" t="inlineStr">
        <is>
          <t>J-04..J-09</t>
        </is>
      </c>
      <c r="E22" s="71" t="inlineStr">
        <is>
          <t>1 each</t>
        </is>
      </c>
      <c r="F22" s="71" t="n"/>
      <c r="G22" s="71" t="inlineStr">
        <is>
          <t>Matan / Dave</t>
        </is>
      </c>
      <c r="H22" s="71" t="n"/>
    </row>
    <row r="23" ht="15" customHeight="1" s="65">
      <c r="A23" s="71" t="inlineStr">
        <is>
          <t>Jacksonville</t>
        </is>
      </c>
      <c r="B23" s="71" t="inlineStr">
        <is>
          <t>Access</t>
        </is>
      </c>
      <c r="C23" s="71" t="inlineStr">
        <is>
          <t>Track time under wire at Moncrief; CSX coordination</t>
        </is>
      </c>
      <c r="D23" s="71" t="inlineStr">
        <is>
          <t>J-08..J-12</t>
        </is>
      </c>
      <c r="E23" s="71" t="n"/>
      <c r="F23" s="71" t="n"/>
      <c r="G23" s="71" t="inlineStr">
        <is>
          <t>Daphna</t>
        </is>
      </c>
      <c r="H23" s="71" t="n"/>
    </row>
    <row r="24" ht="23.25" customHeight="1" s="65">
      <c r="A24" s="71" t="inlineStr">
        <is>
          <t>Cerritos</t>
        </is>
      </c>
      <c r="B24" s="71" t="inlineStr">
        <is>
          <t>Test gear</t>
        </is>
      </c>
      <c r="C24" s="71" t="inlineStr">
        <is>
          <t>Capacitor bank (~23 mF) for precharge test; 2,000 A LV supply; HV load bank; compressor test stand</t>
        </is>
      </c>
      <c r="D24" s="71" t="inlineStr">
        <is>
          <t>C-05, C-07, C-09, C-17</t>
        </is>
      </c>
      <c r="E24" s="71" t="inlineStr">
        <is>
          <t>existing / rental</t>
        </is>
      </c>
      <c r="F24" s="71" t="inlineStr">
        <is>
          <t>$17.5k / $20k rental per test table</t>
        </is>
      </c>
      <c r="G24" s="71" t="inlineStr">
        <is>
          <t>Mitchell</t>
        </is>
      </c>
      <c r="H24" s="71" t="n"/>
    </row>
    <row r="25" ht="15" customHeight="1" s="65">
      <c r="A25" s="72" t="inlineStr">
        <is>
          <t>Huntington</t>
        </is>
      </c>
      <c r="B25" s="72" t="inlineStr">
        <is>
          <t>People</t>
        </is>
      </c>
      <c r="C25" s="72" t="inlineStr">
        <is>
          <t>Integral engineer for LCC/chopper software load and joint fault classification</t>
        </is>
      </c>
      <c r="D25" s="72" t="inlineStr">
        <is>
          <t>H-30, H-31</t>
        </is>
      </c>
      <c r="E25" s="72" t="inlineStr">
        <is>
          <t>1</t>
        </is>
      </c>
      <c r="F25" s="72" t="inlineStr">
        <is>
          <t>Book with chopper delivery</t>
        </is>
      </c>
      <c r="G25" s="72" t="inlineStr">
        <is>
          <t>Jonathan</t>
        </is>
      </c>
      <c r="H25" s="72" t="n"/>
    </row>
    <row r="26" ht="23.25" customHeight="1" s="65">
      <c r="A26" s="72" t="inlineStr">
        <is>
          <t>Huntington</t>
        </is>
      </c>
      <c r="B26" s="72" t="inlineStr">
        <is>
          <t>Software</t>
        </is>
      </c>
      <c r="C26" s="72" t="inlineStr">
        <is>
          <t>Release packages with version manifest: Voltify (VMS, VIO, BCU, panto, PE cooling) and Integral (LCC/TECU, choppers, IAC)</t>
        </is>
      </c>
      <c r="D26" s="72" t="inlineStr">
        <is>
          <t>H-30</t>
        </is>
      </c>
      <c r="E26" s="72" t="inlineStr">
        <is>
          <t>1 set</t>
        </is>
      </c>
      <c r="F26" s="72" t="inlineStr">
        <is>
          <t>Freeze before Oct 12 build</t>
        </is>
      </c>
      <c r="G26" s="72" t="inlineStr">
        <is>
          <t>Jared + Integral</t>
        </is>
      </c>
      <c r="H26" s="72" t="n"/>
    </row>
    <row r="27" ht="23.25" customHeight="1" s="65">
      <c r="A27" s="72" t="inlineStr">
        <is>
          <t>Huntington</t>
        </is>
      </c>
      <c r="B27" s="72" t="inlineStr">
        <is>
          <t>Procedure</t>
        </is>
      </c>
      <c r="C27" s="72" t="inlineStr">
        <is>
          <t>Written Megger procedure: sections, test voltages, what to isolate/short, discharge</t>
        </is>
      </c>
      <c r="D27" s="72" t="inlineStr">
        <is>
          <t>H-29</t>
        </is>
      </c>
      <c r="E27" s="72" t="inlineStr">
        <is>
          <t>1</t>
        </is>
      </c>
      <c r="F27" s="72" t="inlineStr">
        <is>
          <t>Before G2</t>
        </is>
      </c>
      <c r="G27" s="72" t="inlineStr">
        <is>
          <t>Mitchell</t>
        </is>
      </c>
      <c r="H27" s="72" t="n"/>
    </row>
    <row r="28" ht="23.25" customHeight="1" s="65">
      <c r="A28" s="72" t="inlineStr">
        <is>
          <t>Huntington</t>
        </is>
      </c>
      <c r="B28" s="72" t="inlineStr">
        <is>
          <t>Data</t>
        </is>
      </c>
      <c r="C28" s="72" t="inlineStr">
        <is>
          <t>Starlink online (or LTE fallback), cloud bucket, GPS time sync, logger config per Data Logging tab</t>
        </is>
      </c>
      <c r="D28" s="72" t="inlineStr">
        <is>
          <t>H-32</t>
        </is>
      </c>
      <c r="E28" s="72" t="inlineStr">
        <is>
          <t>1</t>
        </is>
      </c>
      <c r="F28" s="72" t="inlineStr">
        <is>
          <t>Needed at first LV power</t>
        </is>
      </c>
      <c r="G28" s="72" t="inlineStr">
        <is>
          <t>Matan</t>
        </is>
      </c>
      <c r="H28" s="72" t="n"/>
    </row>
    <row r="29" ht="23.25" customHeight="1" s="65">
      <c r="A29" s="72" t="inlineStr">
        <is>
          <t>Huntington</t>
        </is>
      </c>
      <c r="B29" s="72" t="inlineStr">
        <is>
          <t>Access</t>
        </is>
      </c>
      <c r="C29" s="72" t="inlineStr">
        <is>
          <t>CSX confirmation that first movement can run under 49 CFR 229.9(c) yard rules (&lt;=10 mph) or other authority</t>
        </is>
      </c>
      <c r="D29" s="72" t="inlineStr">
        <is>
          <t>H-13</t>
        </is>
      </c>
      <c r="E29" s="72" t="inlineStr">
        <is>
          <t>Written</t>
        </is>
      </c>
      <c r="F29" s="72" t="inlineStr">
        <is>
          <t>Start now</t>
        </is>
      </c>
      <c r="G29" s="72" t="inlineStr">
        <is>
          <t>Dragan / Daphna</t>
        </is>
      </c>
      <c r="H29" s="72" t="n"/>
    </row>
    <row r="30" ht="15" customHeight="1" s="65">
      <c r="A30" s="72" t="inlineStr">
        <is>
          <t>Huntington</t>
        </is>
      </c>
      <c r="B30" s="72" t="inlineStr">
        <is>
          <t>Procedure</t>
        </is>
      </c>
      <c r="C30" s="72" t="inlineStr">
        <is>
          <t>Graham-White handbrake manual apply/release instructions</t>
        </is>
      </c>
      <c r="D30" s="72" t="inlineStr">
        <is>
          <t>H-33</t>
        </is>
      </c>
      <c r="E30" s="72" t="inlineStr">
        <is>
          <t>1</t>
        </is>
      </c>
      <c r="F30" s="72" t="inlineStr">
        <is>
          <t>Request from supplier</t>
        </is>
      </c>
      <c r="G30" s="72" t="inlineStr">
        <is>
          <t>Dragan</t>
        </is>
      </c>
      <c r="H30" s="72" t="n"/>
    </row>
    <row r="31" ht="23.25" customHeight="1" s="65">
      <c r="A31" s="72" t="inlineStr">
        <is>
          <t>Jacksonville</t>
        </is>
      </c>
      <c r="B31" s="72" t="inlineStr">
        <is>
          <t>Track</t>
        </is>
      </c>
      <c r="C31" s="72" t="inlineStr">
        <is>
          <t>Cuts of cars for load ramp: LC-1 (~10 cars), LC-2 (~25), LC-3 (~28 loaded, ~3,600 t)</t>
        </is>
      </c>
      <c r="D31" s="72" t="inlineStr">
        <is>
          <t>J-15..J-17</t>
        </is>
      </c>
      <c r="E31" s="72" t="inlineStr">
        <is>
          <t>Per Load Cases tab</t>
        </is>
      </c>
      <c r="F31" s="72" t="inlineStr">
        <is>
          <t>Coordinate with CSX Moncrief</t>
        </is>
      </c>
      <c r="G31" s="72" t="inlineStr">
        <is>
          <t>Daphna</t>
        </is>
      </c>
      <c r="H31" s="72" t="n"/>
    </row>
    <row r="32" ht="15" customHeight="1" s="65">
      <c r="A32" s="72" t="inlineStr">
        <is>
          <t>Jacksonville</t>
        </is>
      </c>
      <c r="B32" s="72" t="inlineStr">
        <is>
          <t>Track</t>
        </is>
      </c>
      <c r="C32" s="72" t="inlineStr">
        <is>
          <t>Track for sustained 10 mph: ~2.5 mi per 15 min, or loop / repeated passes</t>
        </is>
      </c>
      <c r="D32" s="72" t="inlineStr">
        <is>
          <t>J-16, J-17</t>
        </is>
      </c>
      <c r="E32" s="72" t="inlineStr">
        <is>
          <t>TBD</t>
        </is>
      </c>
      <c r="F32" s="72" t="inlineStr">
        <is>
          <t>Same as Showcase 1 need</t>
        </is>
      </c>
      <c r="G32" s="72" t="inlineStr">
        <is>
          <t>Daphna</t>
        </is>
      </c>
      <c r="H32" s="72" t="n"/>
    </row>
    <row r="33" ht="23.25" customHeight="1" s="65">
      <c r="A33" s="72" t="inlineStr">
        <is>
          <t>Jacksonville</t>
        </is>
      </c>
      <c r="B33" s="72" t="inlineStr">
        <is>
          <t>Test gear</t>
        </is>
      </c>
      <c r="C33" s="72" t="inlineStr">
        <is>
          <t>Thermocouple DAQ on motor frames, chopper heatsinks, coolant loops; optional drawbar load cell or dynamometer car for TE</t>
        </is>
      </c>
      <c r="D33" s="72" t="inlineStr">
        <is>
          <t>J-15..J-17</t>
        </is>
      </c>
      <c r="E33" s="72" t="inlineStr">
        <is>
          <t>1 set</t>
        </is>
      </c>
      <c r="F33" s="72" t="inlineStr">
        <is>
          <t>TE can be estimated from motor current if no load cell</t>
        </is>
      </c>
      <c r="G33" s="72" t="inlineStr">
        <is>
          <t>Integral / VJ</t>
        </is>
      </c>
      <c r="H33" s="72" t="n"/>
    </row>
  </sheetData>
  <autoFilter ref="A1:H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64" min="1" max="1"/>
    <col width="7" customWidth="1" style="64" min="2" max="2"/>
    <col width="26" customWidth="1" style="64" min="3" max="3"/>
    <col width="40" customWidth="1" style="64" min="4" max="4"/>
    <col width="44" customWidth="1" style="64" min="5" max="5"/>
    <col width="32" customWidth="1" style="64" min="6" max="6"/>
    <col width="34" customWidth="1" style="64" min="7" max="7"/>
  </cols>
  <sheetData>
    <row r="1" ht="45.75" customHeight="1" s="65">
      <c r="A1" s="70" t="inlineStr">
        <is>
          <t>Proposed RSK</t>
        </is>
      </c>
      <c r="B1" s="70" t="inlineStr">
        <is>
          <t>Level</t>
        </is>
      </c>
      <c r="C1" s="70" t="inlineStr">
        <is>
          <t>Topic</t>
        </is>
      </c>
      <c r="D1" s="70" t="inlineStr">
        <is>
          <t>Source A says</t>
        </is>
      </c>
      <c r="E1" s="70" t="inlineStr">
        <is>
          <t>Source B says</t>
        </is>
      </c>
      <c r="F1" s="70" t="inlineStr">
        <is>
          <t>Why it matters</t>
        </is>
      </c>
      <c r="G1" s="70" t="inlineStr">
        <is>
          <t>Proposed owner / next step</t>
        </is>
      </c>
    </row>
    <row r="2" ht="34.5" customHeight="1" s="65">
      <c r="A2" s="71" t="inlineStr">
        <is>
          <t>RSK-NEW-13</t>
        </is>
      </c>
      <c r="B2" s="71" t="inlineStr">
        <is>
          <t>HIGH</t>
        </is>
      </c>
      <c r="C2" s="71" t="inlineStr">
        <is>
          <t>Dead-in-tow requirements</t>
        </is>
      </c>
      <c r="D2" s="71" t="inlineStr">
        <is>
          <t>Move plan: Huntington -&gt; JAX dead-in-tow</t>
        </is>
      </c>
      <c r="E2" s="71" t="inlineStr">
        <is>
          <t>GP40-V spec and HLR contain no dead-in-tow or transport requirement</t>
        </is>
      </c>
      <c r="F2" s="71" t="inlineStr">
        <is>
          <t>Tow config, motor isolation, brakes, SOC undefined</t>
        </is>
      </c>
      <c r="G2" s="71" t="inlineStr">
        <is>
          <t>Bill: adopt DIT set (G4). Dragan: unit acts as a railcar per CCB-2E dead-engine setup and 49 CFR 229.9 / 231 / 232</t>
        </is>
      </c>
    </row>
    <row r="3" ht="23.25" customHeight="1" s="65">
      <c r="A3" s="71" t="inlineStr">
        <is>
          <t>RSK-NEW-14</t>
        </is>
      </c>
      <c r="B3" s="71" t="inlineStr">
        <is>
          <t>HIGH</t>
        </is>
      </c>
      <c r="C3" s="71" t="inlineStr">
        <is>
          <t>Traction-motor isolation with control off</t>
        </is>
      </c>
      <c r="D3" s="71" t="inlineStr">
        <is>
          <t>Tow needs motors disconnected with LCC unpowered</t>
        </is>
      </c>
      <c r="E3" s="71" t="inlineStr">
        <is>
          <t>GP40-V spec: TM cutouts computer-controlled; manual cutout switches removed from HVC</t>
        </is>
      </c>
      <c r="F3" s="71" t="inlineStr">
        <is>
          <t>No verified way to isolate motors when dead (F38)</t>
        </is>
      </c>
      <c r="G3" s="71" t="inlineStr">
        <is>
          <t>Integral + Mitchell: define and test (H-25)</t>
        </is>
      </c>
    </row>
    <row r="4" ht="23.25" customHeight="1" s="65">
      <c r="A4" s="74" t="inlineStr">
        <is>
          <t>RSK-NEW-01</t>
        </is>
      </c>
      <c r="B4" s="74" t="inlineStr">
        <is>
          <t>LOW</t>
        </is>
      </c>
      <c r="C4" s="74" t="inlineStr">
        <is>
          <t>DC-link contactor owner: PROPOSED CLOSED (v1.3)</t>
        </is>
      </c>
      <c r="D4" s="74" t="inlineStr">
        <is>
          <t>Architecture doc: VMS VIO #1 drives DC-link contactor and precharge</t>
        </is>
      </c>
      <c r="E4" s="74" t="inlineStr">
        <is>
          <t>Deck FER slide: all FER switchgear controlled by LCC; start flow: 'LCC connects DC-link'</t>
        </is>
      </c>
      <c r="F4" s="74" t="inlineStr">
        <is>
          <t>Two masters on one HV contactor (F02)</t>
        </is>
      </c>
      <c r="G4" s="74" t="inlineStr">
        <is>
          <t>Jonathan 2026-10-12: Integral is the only master of the DC-link to TRB-bus contactors. Jonathan + Integral: write the ICD line; Micah: correct the architecture doc (VMS VIO #1)</t>
        </is>
      </c>
    </row>
    <row r="5" ht="23.25" customHeight="1" s="65">
      <c r="A5" s="74" t="inlineStr">
        <is>
          <t>RSK-NEW-03</t>
        </is>
      </c>
      <c r="B5" s="74" t="inlineStr">
        <is>
          <t>LOW</t>
        </is>
      </c>
      <c r="C5" s="74" t="inlineStr">
        <is>
          <t>Charge rate: CLOSED FOR DEMO (v1.3)</t>
        </is>
      </c>
      <c r="D5" s="74" t="inlineStr">
        <is>
          <t>HLR / demo plan: 3 MW dynamic target</t>
        </is>
      </c>
      <c r="E5" s="74" t="inlineStr">
        <is>
          <t>Demo limit (DR-17): 2.1 MW at the wire (0.5C of the 4.2 MWh Jacksonville ground ESS) and no more than 1,666 A wire current (2 x 833 A DPS100) = 0.42C at the loco, inside the 0.5C cell rating</t>
        </is>
      </c>
      <c r="F5" s="74" t="inlineStr">
        <is>
          <t>Over-rate charging (F06)</t>
        </is>
      </c>
      <c r="G5" s="74" t="inlineStr">
        <is>
          <t>Closed for the demo. Post-demo (MCS 2.25 MW/port, future wayside): Bill/Micah still need the Jinko/BMS written charge limit</t>
        </is>
      </c>
    </row>
    <row r="6" ht="15" customHeight="1" s="65">
      <c r="A6" s="74" t="inlineStr">
        <is>
          <t>RSK-NEW-04</t>
        </is>
      </c>
      <c r="B6" s="74" t="inlineStr">
        <is>
          <t>HIGH</t>
        </is>
      </c>
      <c r="C6" s="74" t="inlineStr">
        <is>
          <t>Dynamic charging without ITV</t>
        </is>
      </c>
      <c r="D6" s="74" t="inlineStr">
        <is>
          <t>Showcase needs dynamic charging</t>
        </is>
      </c>
      <c r="E6" s="74" t="inlineStr">
        <is>
          <t>HLR fallback (no ITV): dynamic N/A | v1.3: Jonathan 2026-10-12: without the ITV the pantographs connect straight to the TRB-bus with no filtering; the Zekalabs 750V-PS (1.7 kV SiC) on the same port has little spike margin at 1.5 kV</t>
        </is>
      </c>
      <c r="F6" s="74" t="inlineStr">
        <is>
          <t>ITV has no date (F12)</t>
        </is>
      </c>
      <c r="G6" s="74" t="inlineStr">
        <is>
          <t>ITV date (Jonathan): Oct 19 target, end of October latest. Decision: no dynamic charging without the ITV (F69, RSK-NEW-52); static-only fallback</t>
        </is>
      </c>
    </row>
    <row r="7" ht="15" customHeight="1" s="65">
      <c r="A7" s="74" t="inlineStr">
        <is>
          <t>RSK-NEW-06</t>
        </is>
      </c>
      <c r="B7" s="74" t="inlineStr">
        <is>
          <t>MED</t>
        </is>
      </c>
      <c r="C7" s="74" t="inlineStr">
        <is>
          <t>Insulation monitoring</t>
        </is>
      </c>
      <c r="D7" s="74" t="inlineStr">
        <is>
          <t>Architecture: isolation check only at MCS inlet</t>
        </is>
      </c>
      <c r="E7" s="74" t="inlineStr">
        <is>
          <t>No IMD on TRB-BUS in any source | v1.3: Jonathan 2026-10-13: continuous ground-fault detection exists</t>
        </is>
      </c>
      <c r="F7" s="74" t="inlineStr">
        <is>
          <t>Ground fault undetected (F15)</t>
        </is>
      </c>
      <c r="G7" s="74" t="inlineStr">
        <is>
          <t>Jonathan + Micah: confirm the detector senses the TRB-bus (source), not only the DC-link; H-06</t>
        </is>
      </c>
    </row>
    <row r="8" ht="34.5" customHeight="1" s="65">
      <c r="A8" s="72" t="inlineStr">
        <is>
          <t>RSK-NEW-22</t>
        </is>
      </c>
      <c r="B8" s="72" t="inlineStr">
        <is>
          <t>HIGH</t>
        </is>
      </c>
      <c r="C8" s="72" t="inlineStr">
        <is>
          <t>PE loop hot-ambient limit</t>
        </is>
      </c>
      <c r="D8" s="72" t="inlineStr">
        <is>
          <t>KULI PE review: 40 C design point, charger supply 53.3 C (limit 55 C)</t>
        </is>
      </c>
      <c r="E8" s="72" t="inlineStr">
        <is>
          <t>Sweep: charger supply passes 55 C at ~46-47 C ambient when charging; inverter 60 C at ~50 C under Notch 8</t>
        </is>
      </c>
      <c r="F8" s="72" t="inlineStr">
        <is>
          <t>Summer CSX operation in Jacksonville; charging and full power lost first (F54) | v1.3: demo charging is now 2.1 MW (charger heat ~14 kW vs ~17-20 kW at 2.5-3 MW), so the charging crossover ambient should rise; quantify in C-27</t>
        </is>
      </c>
      <c r="G8" s="72" t="inlineStr">
        <is>
          <t>VJ + Integral: confirm design ambient and radiator margin</t>
        </is>
      </c>
    </row>
    <row r="9" ht="34.5" customHeight="1" s="65">
      <c r="A9" s="72" t="inlineStr">
        <is>
          <t>RSK-NEW-30</t>
        </is>
      </c>
      <c r="B9" s="72" t="inlineStr">
        <is>
          <t>HIGH</t>
        </is>
      </c>
      <c r="C9" s="72" t="inlineStr">
        <is>
          <t>PE pump failure detection</t>
        </is>
      </c>
      <c r="D9" s="72" t="inlineStr">
        <is>
          <t>Fault sweep: chopper fluid 110-135 C at onset of pump loss under load</t>
        </is>
      </c>
      <c r="E9" s="72" t="inlineStr">
        <is>
          <t>Architecture doc: PE cooling controller senses temperature, pressure, level; no flow/pump-status trip defined</t>
        </is>
      </c>
      <c r="F9" s="72" t="inlineStr">
        <is>
          <t>Choppers overheat before a temperature alarm reacts (F61)</t>
        </is>
      </c>
      <c r="G9" s="72" t="inlineStr">
        <is>
          <t>VJ + Micah: define flow loss trip; test H-34</t>
        </is>
      </c>
    </row>
    <row r="10" ht="45.75" customHeight="1" s="65">
      <c r="A10" s="72" t="inlineStr">
        <is>
          <t>RSK-NEW-35</t>
        </is>
      </c>
      <c r="B10" s="72" t="inlineStr">
        <is>
          <t>HIGH</t>
        </is>
      </c>
      <c r="C10" s="72" t="inlineStr">
        <is>
          <t>Radiator fan hardware</t>
        </is>
      </c>
      <c r="D10" s="72" t="inlineStr">
        <is>
          <t>KULI PE and condenser reviews: EMP fans, ~7 kW per 3-fan bank (model baseline by decision 2026-10-08)</t>
        </is>
      </c>
      <c r="E10" s="72" t="inlineStr">
        <is>
          <t>POC Power Budget: SPAL VA117 12 V fans only. Locomotive Kit BOM: BOTH per loop (EMP HV radiator + fan assembly 750 V, and LV truck radiator with 3 SPAL fans)</t>
        </is>
      </c>
      <c r="F10" s="72" t="inlineStr">
        <is>
          <t>Model and KULI cover EMP only; POC budget omits the EMP 750 V fan load (~7 kW per loop); radiator capacity and aux power both uncertain</t>
        </is>
      </c>
      <c r="G10" s="72" t="inlineStr">
        <is>
          <t>VJ: confirm radiator/fan architecture per loop; update KULI, POC budget and model</t>
        </is>
      </c>
    </row>
    <row r="11" ht="45.75" customHeight="1" s="65">
      <c r="A11" s="72" t="inlineStr">
        <is>
          <t>RSK-NEW-38</t>
        </is>
      </c>
      <c r="B11" s="72" t="inlineStr">
        <is>
          <t>HIGH</t>
        </is>
      </c>
      <c r="C11" s="72" t="inlineStr">
        <is>
          <t>Chopper loss basis</t>
        </is>
      </c>
      <c r="D11" s="72" t="inlineStr">
        <is>
          <t>Vince KULI PE reviews (Oct 5/9): 4.02 kW per chopper at 425 A, 32.8 kW full peak (~1.25% of output; Voltify design basis)</t>
        </is>
      </c>
      <c r="E11" s="72" t="inlineStr">
        <is>
          <t>Integral sim (2026-10-15): 2.48 kW per chopper at 1170 A, 500 Hz (switching 1.58 kW, conduction 0.90 kW), ~0.78 kW at 425 A; no measured data (stall test only). Model Rev C uses it; deck basis was 5.25 kW at 1050 A. Per-chopper vs per-module basis not stated (2x).</t>
        </is>
      </c>
      <c r="F11" s="72" t="inlineStr">
        <is>
          <t>PE loop sizing and hot-day verdicts: at the KULI basis the 45 C baseline chopper fluid reaches ~64 C vs 63 C (estimate) (F65)</t>
        </is>
      </c>
      <c r="G11" s="72" t="inlineStr">
        <is>
          <t>Integral via Jonathan: HV motor-lab loss data (C-24); VJ: KULI full-peak case; Bill: update model loss curve | v1.2: Jonathan/Bill: Integral to confirm table basis (per chopper or per module) and send loss at 425/1500 A; KULI basis (4.02 kW at 425 A) is ~5x the Integral sim -&gt; PE loop sizing conservative. Propose MED once basis confirmed</t>
        </is>
      </c>
    </row>
    <row r="12" ht="45.75" customHeight="1" s="65">
      <c r="A12" s="72" t="inlineStr">
        <is>
          <t>RSK-NEW-39</t>
        </is>
      </c>
      <c r="B12" s="72" t="inlineStr">
        <is>
          <t>HIGH</t>
        </is>
      </c>
      <c r="C12" s="72" t="inlineStr">
        <is>
          <t>Charger coolant limit and flow</t>
        </is>
      </c>
      <c r="D12" s="72" t="inlineStr">
        <is>
          <t>AUX-B002-P-V0-R2 datasheet: maximum cold plate fluid 55 C (location unstated); minimum 30 L/min and 0.8 bar per loop</t>
        </is>
      </c>
      <c r="E12" s="72" t="inlineStr">
        <is>
          <t>Integral (2026-10-15): 55 C is the maximum coolant INLET; 0.8 bar is nominal at 30 L/min (proportional to flow); ~6 C rise at 30 L/min (2 loops = ~21 kW at 3 MW, matches model 99.34%); onboard cold-plate derate. Model already checks supply (inlet) temperature. | v1.3: At the 2.1 MW demo limit the charger rejects ~14 kW</t>
        </is>
      </c>
      <c r="F12" s="72" t="inlineStr">
        <is>
          <t>Full-power charging on hot days (Showcase 2); verdict logic changes if the limit applies at the outlet (F66)</t>
        </is>
      </c>
      <c r="G12" s="72" t="inlineStr">
        <is>
          <t>Integral: confirm limit location and pressure-drop meaning; VJ + Dave: rebalance charger branch; H-35 / J-22 | v1.2: Margin is 1.5 K at 40 C (53.5 C inlet). Open: Integral losses vs charge power, ramp rate, current limits; IGBT temps junction or case. Location question closed</t>
        </is>
      </c>
    </row>
    <row r="13" ht="45.75" customHeight="1" s="65">
      <c r="A13" s="74" t="inlineStr">
        <is>
          <t>RSK-NEW-43</t>
        </is>
      </c>
      <c r="B13" s="74" t="inlineStr">
        <is>
          <t>HIGH</t>
        </is>
      </c>
      <c r="C13" s="74" t="inlineStr">
        <is>
          <t>Roof bus live through ITV diodes</t>
        </is>
      </c>
      <c r="D13" s="74" t="inlineStr">
        <is>
          <t>ITV AUX-B002 non-isolated buck/boost: battery energizes the roof side through freewheel diodes</t>
        </is>
      </c>
      <c r="E13" s="74" t="inlineStr">
        <is>
          <t>No requirement that charger contactors open when pantos are down | v1.3: Jonathan 2026-10-13: VMS folds the pantographs only after opening the panto contactor panel contactors (partial control)</t>
        </is>
      </c>
      <c r="F13" s="74" t="inlineStr">
        <is>
          <t>Roof/pantograph conductors at battery voltage with pantos lowered (F68)</t>
        </is>
      </c>
      <c r="G13" s="74" t="inlineStr">
        <is>
          <t>Micah: add VMS + hardware interlock; verify J-24 | v1.3: Keep J-24: VMS sequence plus hardware interlock</t>
        </is>
      </c>
    </row>
    <row r="14" ht="23.25" customHeight="1" s="65">
      <c r="A14" s="71" t="inlineStr">
        <is>
          <t>RSK-NEW-15</t>
        </is>
      </c>
      <c r="B14" s="71" t="inlineStr">
        <is>
          <t>MED</t>
        </is>
      </c>
      <c r="C14" s="71" t="inlineStr">
        <is>
          <t>Battery in a towed unit</t>
        </is>
      </c>
      <c r="D14" s="71" t="inlineStr">
        <is>
          <t>Pack ships energized at some SOC</t>
        </is>
      </c>
      <c r="E14" s="71" t="inlineStr">
        <is>
          <t>No defined tow SOC, hazmat classification or responder info</t>
        </is>
      </c>
      <c r="F14" s="71" t="inlineStr">
        <is>
          <t>CSX acceptance and incident response (F26, F43)</t>
        </is>
      </c>
      <c r="G14" s="71" t="inlineStr">
        <is>
          <t>Bill + Daphna: CSX hazmat review</t>
        </is>
      </c>
    </row>
    <row r="15" ht="23.25" customHeight="1" s="65">
      <c r="A15" s="74" t="inlineStr">
        <is>
          <t>RSK-NEW-07</t>
        </is>
      </c>
      <c r="B15" s="74" t="inlineStr">
        <is>
          <t>MED</t>
        </is>
      </c>
      <c r="C15" s="74" t="inlineStr">
        <is>
          <t>E-Stop timing</t>
        </is>
      </c>
      <c r="D15" s="74" t="inlineStr">
        <is>
          <t>Deck: T1, T2, T3 = TBD seconds</t>
        </is>
      </c>
      <c r="E15" s="74" t="inlineStr">
        <is>
          <t>ITV contract: stop within T1</t>
        </is>
      </c>
      <c r="F15" s="74" t="inlineStr">
        <is>
          <t>Untestable until numbers exist (F01)</t>
        </is>
      </c>
      <c r="G15" s="74" t="inlineStr">
        <is>
          <t>Micah + Jonathan + Integral</t>
        </is>
      </c>
    </row>
    <row r="16" ht="23.25" customHeight="1" s="65">
      <c r="A16" s="74" t="inlineStr">
        <is>
          <t>RSK-NEW-08</t>
        </is>
      </c>
      <c r="B16" s="74" t="inlineStr">
        <is>
          <t>MED</t>
        </is>
      </c>
      <c r="C16" s="74" t="inlineStr">
        <is>
          <t>BTMS supplies</t>
        </is>
      </c>
      <c r="D16" s="74" t="inlineStr">
        <is>
          <t>Architecture: 750-&gt;12 V BTMS LV PS 3.25 kW</t>
        </is>
      </c>
      <c r="E16" s="74" t="inlineStr">
        <is>
          <t>Deck: 12 V PS 6 kW (NetPower) + 24 V PS 7 kW (inmotion)</t>
        </is>
      </c>
      <c r="F16" s="74" t="inlineStr">
        <is>
          <t>Aux budget and wiring (F35)</t>
        </is>
      </c>
      <c r="G16" s="74" t="inlineStr">
        <is>
          <t>Micah: update power budget (owner changed from Jack per Jonathan 2026-10-14; confirm this is the intended row)</t>
        </is>
      </c>
    </row>
    <row r="17" ht="45.75" customHeight="1" s="65">
      <c r="A17" s="71" t="inlineStr">
        <is>
          <t>RSK-NEW-10</t>
        </is>
      </c>
      <c r="B17" s="71" t="inlineStr">
        <is>
          <t>MED</t>
        </is>
      </c>
      <c r="C17" s="71" t="inlineStr">
        <is>
          <t>Pantograph hatch vs tow</t>
        </is>
      </c>
      <c r="D17" s="71" t="inlineStr">
        <is>
          <t>Gantt: hatch/bussing into December</t>
        </is>
      </c>
      <c r="E17" s="71" t="inlineStr">
        <is>
          <t>Tow targeted mid-Nov</t>
        </is>
      </c>
      <c r="F17" s="71" t="inlineStr">
        <is>
          <t>Tow without pantos fitted is simplest (F14, F42)</t>
        </is>
      </c>
      <c r="G17" s="71" t="inlineStr">
        <is>
          <t>Dave + Dragan: decide</t>
        </is>
      </c>
    </row>
    <row r="18" ht="23.25" customHeight="1" s="65">
      <c r="A18" s="72" t="inlineStr">
        <is>
          <t>RSK-NEW-16</t>
        </is>
      </c>
      <c r="B18" s="72" t="inlineStr">
        <is>
          <t>MED</t>
        </is>
      </c>
      <c r="C18" s="72" t="inlineStr">
        <is>
          <t>HSCB necessity: PROPOSED CLOSED, RETAIN (v1.1)</t>
        </is>
      </c>
      <c r="D18" s="72" t="inlineStr">
        <is>
          <t>ITV (AUX-B002) is non-isolated buck/boost: battery back-feeds roof/charge-bus faults through freewheel diodes; ITV-bypass fallback and direct-to-TRB MCS also put the battery on the charge bus (analysis Oct 10; same risk as RSK-101)</t>
        </is>
      </c>
      <c r="E18" s="72" t="inlineStr">
        <is>
          <t>Dragan (Oct 6): HSCB may not be needed for demo at all. Review pending</t>
        </is>
      </c>
      <c r="F18" s="72" t="inlineStr">
        <is>
          <t>Contactors cannot break a battery-fed fault; string fuses are slow and split 6 ways; dynamic charging needs a resettable interrupter. Hardware on hand (Secheron), no cost or schedule hit</t>
        </is>
      </c>
      <c r="G18" s="72" t="inlineStr">
        <is>
          <t>Jonathan Ronai (Integral POC). Close when: (a) Integral confirms ITV freewheel back-feed path; (b) Jinko pack/string short-circuit impedance; (c) Secheron trip curve clears within busbar/cable I2t. Dragan to review</t>
        </is>
      </c>
    </row>
    <row r="19" ht="15" customHeight="1" s="65">
      <c r="A19" s="72" t="inlineStr">
        <is>
          <t>RSK-NEW-17</t>
        </is>
      </c>
      <c r="B19" s="72" t="inlineStr">
        <is>
          <t>MED</t>
        </is>
      </c>
      <c r="C19" s="72" t="inlineStr">
        <is>
          <t>Notch 8 margin</t>
        </is>
      </c>
      <c r="D19" s="72" t="inlineStr">
        <is>
          <t>Dragan target: Notch 8 for 15 min (~3,000 hp); S6 model trace: 3,640 t on 0.5% at 30 mph</t>
        </is>
      </c>
      <c r="E19" s="72" t="inlineStr">
        <is>
          <t>Model Rev C: 30 mph on that load needs 3.17 MW at the rail; 2.144 MW (4 x 536 kW) balances at 20.4 mph, 1.49 MW (500 hp/motor) at 14.2 mph. Motors then run ~1,060 A (D77: 1,050 A cont, 1,150 A 15 min). Earlier DERATED verdict was a report bug (fixed).</t>
        </is>
      </c>
      <c r="F19" s="72" t="inlineStr">
        <is>
          <t>The target is power-limited, not model-limited; a 15-min Notch 8 lands at the D77 15-min current rating (F49)</t>
        </is>
      </c>
      <c r="G19" s="72" t="inlineStr">
        <is>
          <t>Bill: confirm target wording (speed, load, grade) in GP40 manual; size the J-17 load so Notch 8 is power-limited at a stated speed</t>
        </is>
      </c>
    </row>
    <row r="20" ht="23.25" customHeight="1" s="65">
      <c r="A20" s="72" t="inlineStr">
        <is>
          <t>RSK-NEW-18</t>
        </is>
      </c>
      <c r="B20" s="72" t="inlineStr">
        <is>
          <t>MED</t>
        </is>
      </c>
      <c r="C20" s="72" t="inlineStr">
        <is>
          <t>Duty load case</t>
        </is>
      </c>
      <c r="D20" s="72" t="inlineStr">
        <is>
          <t>Dragan: 20-50 tons/day</t>
        </is>
      </c>
      <c r="E20" s="72" t="inlineStr">
        <is>
          <t>One loaded car is ~130-143 t; GP40 continuous TE supports ~2,300-3,800 trailing tons at 10 mph on 1.0-0.5% grade</t>
        </is>
      </c>
      <c r="F20" s="72" t="inlineStr">
        <is>
          <t>Test loads and range need per-move tons and cars/day</t>
        </is>
      </c>
      <c r="G20" s="72" t="inlineStr">
        <is>
          <t>Decision Oct 7: protect for normal CSX yard ops via LC-3 (GP40-equivalent). Dragan + Daphna: sanity-check typical cut sizes with CSX | v1.2: CSX4091 yard trace (Aug 26-27) adopted as duty profile; trailing tons per move still unknown (Rev B energy-fit tonnage placeholder). Dragan: CSX switch list / car counts for that shift | v1.4: model wheel energy 1.11 x recorder rail with Rev B tonnage (RSK-NEW-56); switch list still needed</t>
        </is>
      </c>
    </row>
    <row r="21" ht="23.25" customHeight="1" s="65">
      <c r="A21" s="72" t="inlineStr">
        <is>
          <t>RSK-NEW-19</t>
        </is>
      </c>
      <c r="B21" s="72" t="inlineStr">
        <is>
          <t>MED</t>
        </is>
      </c>
      <c r="C21" s="72" t="inlineStr">
        <is>
          <t>Range undefined</t>
        </is>
      </c>
      <c r="D21" s="72" t="inlineStr">
        <is>
          <t>Dragan: determine range empirically</t>
        </is>
      </c>
      <c r="E21" s="72" t="inlineStr">
        <is>
          <t>No logging spec in any source; Starlink incomplete</t>
        </is>
      </c>
      <c r="F21" s="72" t="inlineStr">
        <is>
          <t>No data = no range estimate (F48)</t>
        </is>
      </c>
      <c r="G21" s="72" t="inlineStr">
        <is>
          <t>Matan + Bill: freeze Data Logging tab; H-32 at first power | v1.4 model estimate: CSX4091 yard day uses 15.6% SOC (813 kWh) -&gt; ~5 days per charge in a 90-10% window, before cold/ageing derates; to be replaced by logged data</t>
        </is>
      </c>
    </row>
    <row r="22" ht="23.25" customHeight="1" s="65">
      <c r="A22" s="72" t="inlineStr">
        <is>
          <t>RSK-NEW-20</t>
        </is>
      </c>
      <c r="B22" s="72" t="inlineStr">
        <is>
          <t>MED</t>
        </is>
      </c>
      <c r="C22" s="72" t="inlineStr">
        <is>
          <t>Electric handbrake in tow</t>
        </is>
      </c>
      <c r="D22" s="72" t="inlineStr">
        <is>
          <t>GP40-V spec: Graham-White electric handbrake</t>
        </is>
      </c>
      <c r="E22" s="72" t="inlineStr">
        <is>
          <t>Dead-in-tow: control power off or limited</t>
        </is>
      </c>
      <c r="F22" s="72" t="inlineStr">
        <is>
          <t>Cannot release, or drags in tow (F45)</t>
        </is>
      </c>
      <c r="G22" s="72" t="inlineStr">
        <is>
          <t>Dragan: manual procedure; test H-33</t>
        </is>
      </c>
    </row>
    <row r="23" ht="34.5" customHeight="1" s="65">
      <c r="A23" s="72" t="inlineStr">
        <is>
          <t>RSK-NEW-21</t>
        </is>
      </c>
      <c r="B23" s="72" t="inlineStr">
        <is>
          <t>MED</t>
        </is>
      </c>
      <c r="C23" s="72" t="inlineStr">
        <is>
          <t>First-movement authority at Huntington</t>
        </is>
      </c>
      <c r="D23" s="72" t="inlineStr">
        <is>
          <t>Dragan exit: first movement fwd/rev at Huntington</t>
        </is>
      </c>
      <c r="E23" s="72" t="inlineStr">
        <is>
          <t>Unit is non-complying; 229.9(c) allows yard moves &lt;=10 mph solely for repair; test-move fit unconfirmed</t>
        </is>
      </c>
      <c r="F23" s="72" t="inlineStr">
        <is>
          <t>G3 could stall on authority, not hardware</t>
        </is>
      </c>
      <c r="G23" s="72" t="inlineStr">
        <is>
          <t>Dragan / Daphna: CSX written confirmation</t>
        </is>
      </c>
    </row>
    <row r="24" ht="23.25" customHeight="1" s="65">
      <c r="A24" s="72" t="inlineStr">
        <is>
          <t>RSK-NEW-23</t>
        </is>
      </c>
      <c r="B24" s="72" t="inlineStr">
        <is>
          <t>MED</t>
        </is>
      </c>
      <c r="C24" s="72" t="inlineStr">
        <is>
          <t>Ambient design window</t>
        </is>
      </c>
      <c r="D24" s="72" t="inlineStr">
        <is>
          <t>Maxwell TMS: -10 to 45 C ambient</t>
        </is>
      </c>
      <c r="E24" s="72" t="inlineStr">
        <is>
          <t>Sweep 0-50 C: condenser loop 69 C at 50 C (check valves 65 C); chiller capacity -20%</t>
        </is>
      </c>
      <c r="F24" s="72" t="inlineStr">
        <is>
          <t>No agreed operating envelope (DR-52)</t>
        </is>
      </c>
      <c r="G24" s="72" t="inlineStr">
        <is>
          <t>Bill: set envelope with CSX/Dragan</t>
        </is>
      </c>
    </row>
    <row r="25" ht="23.25" customHeight="1" s="65">
      <c r="A25" s="72" t="inlineStr">
        <is>
          <t>RSK-NEW-24</t>
        </is>
      </c>
      <c r="B25" s="72" t="inlineStr">
        <is>
          <t>MED</t>
        </is>
      </c>
      <c r="C25" s="72" t="inlineStr">
        <is>
          <t>BMS cold thresholds</t>
        </is>
      </c>
      <c r="D25" s="72" t="inlineStr">
        <is>
          <t>Jinko BMS: no charge or discharge below 3 C</t>
        </is>
      </c>
      <c r="E25" s="72" t="inlineStr">
        <is>
          <t>Cell data (Micah thermal deck): discharge -30 to 60 C</t>
        </is>
      </c>
      <c r="F25" s="72" t="inlineStr">
        <is>
          <t>Loco unusable after cold soak until preheated (F56)</t>
        </is>
      </c>
      <c r="G25" s="72" t="inlineStr">
        <is>
          <t>Micah: set Voltify BMS thresholds</t>
        </is>
      </c>
    </row>
    <row r="26" ht="23.25" customHeight="1" s="65">
      <c r="A26" s="72" t="inlineStr">
        <is>
          <t>RSK-NEW-25</t>
        </is>
      </c>
      <c r="B26" s="72" t="inlineStr">
        <is>
          <t>MED</t>
        </is>
      </c>
      <c r="C26" s="72" t="inlineStr">
        <is>
          <t>Heating capacity</t>
        </is>
      </c>
      <c r="D26" s="72" t="inlineStr">
        <is>
          <t>Maxwell TMS study: 24 kW heating</t>
        </is>
      </c>
      <c r="E26" s="72" t="inlineStr">
        <is>
          <t>POC Power Budget / architecture doc: 1 x Webasto HVH120, 12 kW (adopted as baseline 2026-10-08)</t>
        </is>
      </c>
      <c r="F26" s="72" t="inlineStr">
        <is>
          <t>Cold-soak recovery 0-&gt;5 C ~4.0 h (vs ~1.9 h at 24 kW); preconditioning plan must allow for it</t>
        </is>
      </c>
      <c r="G26" s="72" t="inlineStr">
        <is>
          <t>Bill + Micah: preconditioning procedure; decide whether 12 kW is enough for Jan-Feb</t>
        </is>
      </c>
    </row>
    <row r="27" ht="23.25" customHeight="1" s="65">
      <c r="A27" s="72" t="inlineStr">
        <is>
          <t>RSK-NEW-26</t>
        </is>
      </c>
      <c r="B27" s="72" t="inlineStr">
        <is>
          <t>MED</t>
        </is>
      </c>
      <c r="C27" s="72" t="inlineStr">
        <is>
          <t>Heating setpoint</t>
        </is>
      </c>
      <c r="D27" s="72" t="inlineStr">
        <is>
          <t>Jinko BMS: heat on 12 C, off 13.5 C</t>
        </is>
      </c>
      <c r="E27" s="72" t="inlineStr">
        <is>
          <t>Model optimal band 15-35 C</t>
        </is>
      </c>
      <c r="F27" s="72" t="inlineStr">
        <is>
          <t>Pack never reaches optimal band in cool weather (F57)</t>
        </is>
      </c>
      <c r="G27" s="72" t="inlineStr">
        <is>
          <t>Micah: raise setpoints; re-run sweep</t>
        </is>
      </c>
    </row>
    <row r="28" ht="34.5" customHeight="1" s="65">
      <c r="A28" s="72" t="inlineStr">
        <is>
          <t>RSK-NEW-27</t>
        </is>
      </c>
      <c r="B28" s="72" t="inlineStr">
        <is>
          <t>MED</t>
        </is>
      </c>
      <c r="C28" s="72" t="inlineStr">
        <is>
          <t>Thermal model placeholders</t>
        </is>
      </c>
      <c r="D28" s="72" t="inlineStr">
        <is>
          <t>Model: battery-coolant UA 5 kW/K, linear MTM capacity map, D77 single-node thermal</t>
        </is>
      </c>
      <c r="E28" s="72" t="inlineStr">
        <is>
          <t>No measured data yet</t>
        </is>
      </c>
      <c r="F28" s="72" t="inlineStr">
        <is>
          <t>Verdicts at 40-50 C depend on them</t>
        </is>
      </c>
      <c r="G28" s="72" t="inlineStr">
        <is>
          <t>VJ + Jack: obtain data; C-19 re-run</t>
        </is>
      </c>
    </row>
    <row r="29" ht="23.25" customHeight="1" s="65">
      <c r="A29" s="72" t="inlineStr">
        <is>
          <t>RSK-NEW-28</t>
        </is>
      </c>
      <c r="B29" s="72" t="inlineStr">
        <is>
          <t>MED</t>
        </is>
      </c>
      <c r="C29" s="72" t="inlineStr">
        <is>
          <t>Aux load assumption</t>
        </is>
      </c>
      <c r="D29" s="72" t="inlineStr">
        <is>
          <t>Phase 2 duty cycles: 30 kW base aux + 42 kW moving</t>
        </is>
      </c>
      <c r="E29" s="72" t="inlineStr">
        <is>
          <t>Phase 3 load budget: ~0.6-5.2 kW by state + 44.7 kW blowers when moving</t>
        </is>
      </c>
      <c r="F29" s="72" t="inlineStr">
        <is>
          <t>Range and standby energy estimates differ (F60)</t>
        </is>
      </c>
      <c r="G29" s="72" t="inlineStr">
        <is>
          <t>Bill: measure in H-17/J-18; update load_budget.csv | v1.4: CSX4091 yard day aux budget 209 + TMS 89 + converter 12 = 310 kWh (38% of battery energy); measurement in H-17/J-18 now has the biggest range leverage</t>
        </is>
      </c>
    </row>
    <row r="30" ht="23.25" customHeight="1" s="65">
      <c r="A30" s="72" t="inlineStr">
        <is>
          <t>RSK-NEW-29</t>
        </is>
      </c>
      <c r="B30" s="72" t="inlineStr">
        <is>
          <t>MED</t>
        </is>
      </c>
      <c r="C30" s="72" t="inlineStr">
        <is>
          <t>PE fan health on hot days</t>
        </is>
      </c>
      <c r="D30" s="72" t="inlineStr">
        <is>
          <t>Phase 3 fault run: PE fan loss at ~34 C ambient</t>
        </is>
      </c>
      <c r="E30" s="72" t="inlineStr">
        <is>
          <t>No fan status signal to VMS in any interface doc found</t>
        </is>
      </c>
      <c r="F30" s="72" t="inlineStr">
        <is>
          <t>Chopper/inverter overtemperature within minutes (F59)</t>
        </is>
      </c>
      <c r="G30" s="72" t="inlineStr">
        <is>
          <t>VJ + Micah: add fan feedback and a derate rule</t>
        </is>
      </c>
    </row>
    <row r="31" ht="34.5" customHeight="1" s="65">
      <c r="A31" s="72" t="inlineStr">
        <is>
          <t>RSK-NEW-31</t>
        </is>
      </c>
      <c r="B31" s="72" t="inlineStr">
        <is>
          <t>MED</t>
        </is>
      </c>
      <c r="C31" s="72" t="inlineStr">
        <is>
          <t>45 C design point</t>
        </is>
      </c>
      <c r="D31" s="72" t="inlineStr">
        <is>
          <t>Fault sweep baseline at 45 C: condenser loop 66.4 C (check valves 65 C) during heavy duty with charging</t>
        </is>
      </c>
      <c r="E31" s="72" t="inlineStr">
        <is>
          <t>Maxwell design window up to 45 C</t>
        </is>
      </c>
      <c r="F31" s="72" t="inlineStr">
        <is>
          <t>45 C operation fails on check-valve rating alone (F55)</t>
        </is>
      </c>
      <c r="G31" s="72" t="inlineStr">
        <is>
          <t>Jack + Maxwell: valve rating or relocation before setting DR-52</t>
        </is>
      </c>
    </row>
    <row r="32" ht="23.25" customHeight="1" s="65">
      <c r="A32" s="72" t="inlineStr">
        <is>
          <t>RSK-NEW-32</t>
        </is>
      </c>
      <c r="B32" s="72" t="inlineStr">
        <is>
          <t>MED</t>
        </is>
      </c>
      <c r="C32" s="72" t="inlineStr">
        <is>
          <t>Axle cut-out tonnage</t>
        </is>
      </c>
      <c r="D32" s="72" t="inlineStr">
        <is>
          <t>Fault sweep: LC-3 on 0.5% not held with 3 axles</t>
        </is>
      </c>
      <c r="E32" s="72" t="inlineStr">
        <is>
          <t>No reduced-tonnage rule in the operating procedure</t>
        </is>
      </c>
      <c r="F32" s="72" t="inlineStr">
        <is>
          <t>Stalls on grade after an axle cut-out (F62)</t>
        </is>
      </c>
      <c r="G32" s="72" t="inlineStr">
        <is>
          <t>Dragan: 3-axle tonnage rule</t>
        </is>
      </c>
    </row>
    <row r="33" ht="23.25" customHeight="1" s="65">
      <c r="A33" s="72" t="inlineStr">
        <is>
          <t>RSK-NEW-33</t>
        </is>
      </c>
      <c r="B33" s="72" t="inlineStr">
        <is>
          <t>MED</t>
        </is>
      </c>
      <c r="C33" s="72" t="inlineStr">
        <is>
          <t>Model starting resistance</t>
        </is>
      </c>
      <c r="D33" s="72" t="inlineStr">
        <is>
          <t>Vehicle model: rolling resistance ~4 lb/ton, no breakaway term</t>
        </is>
      </c>
      <c r="E33" s="72" t="inlineStr">
        <is>
          <t>Load Cases tab: starting resistance ~15 lb/ton; LC-3 start on 0.5% needs more than adhesion allows</t>
        </is>
      </c>
      <c r="F33" s="72" t="inlineStr">
        <is>
          <t>Heavy-train starts are optimistic in the model</t>
        </is>
      </c>
      <c r="G33" s="72" t="inlineStr">
        <is>
          <t>Bill: add breakaway resistance (C-22)</t>
        </is>
      </c>
    </row>
    <row r="34" ht="23.25" customHeight="1" s="65">
      <c r="A34" s="72" t="inlineStr">
        <is>
          <t>RSK-NEW-34</t>
        </is>
      </c>
      <c r="B34" s="72" t="inlineStr">
        <is>
          <t>MED</t>
        </is>
      </c>
      <c r="C34" s="72" t="inlineStr">
        <is>
          <t>Traction blower rating</t>
        </is>
      </c>
      <c r="D34" s="72" t="inlineStr">
        <is>
          <t>POC Power Budget / architecture doc: traction blowers 25 kW (12.75 kW nominal)</t>
        </is>
      </c>
      <c r="E34" s="72" t="inlineStr">
        <is>
          <t>GP40-V spec: replace traction-motor blower with two 30 HP blowers (~44.7 kW)</t>
        </is>
      </c>
      <c r="F34" s="72" t="inlineStr">
        <is>
          <t>Aux draw while moving differs by ~20-30 kW; motor cooling basis differs (F64)</t>
        </is>
      </c>
      <c r="G34" s="72" t="inlineStr">
        <is>
          <t>Dragan + Micah: confirm blower hardware and rating</t>
        </is>
      </c>
    </row>
    <row r="35" ht="23.25" customHeight="1" s="65">
      <c r="A35" s="72" t="inlineStr">
        <is>
          <t>RSK-NEW-36</t>
        </is>
      </c>
      <c r="B35" s="72" t="inlineStr">
        <is>
          <t>MED</t>
        </is>
      </c>
      <c r="C35" s="72" t="inlineStr">
        <is>
          <t>Battery cooling capacity</t>
        </is>
      </c>
      <c r="D35" s="72" t="inlineStr">
        <is>
          <t>POC Power Budget open item: 4 MTMs x 12 kW = 48 kW</t>
        </is>
      </c>
      <c r="E35" s="72" t="inlineStr">
        <is>
          <t>Margin at 45 C, and at 2.5-3 MW bounding charge cases (demo is 2.1 MW, DR-17)</t>
        </is>
      </c>
      <c r="F35" s="72" t="inlineStr">
        <is>
          <t>Margin at 3 MW charge or 45 C (sweep: cells held at 28 C so far)</t>
        </is>
      </c>
      <c r="G35" s="72" t="inlineStr">
        <is>
          <t>Jack + Maxwell: confirm module count/rating</t>
        </is>
      </c>
    </row>
    <row r="36" ht="23.25" customHeight="1" s="65">
      <c r="A36" s="72" t="inlineStr">
        <is>
          <t>RSK-NEW-40</t>
        </is>
      </c>
      <c r="B36" s="72" t="inlineStr">
        <is>
          <t>MED</t>
        </is>
      </c>
      <c r="C36" s="72" t="inlineStr">
        <is>
          <t>Phase 3 model numerics at transitions</t>
        </is>
      </c>
      <c r="D36" s="72" t="inlineStr">
        <is>
          <t>Phase 3 plant: solver min-step violations at every traction start/stop/brake (6-994 events per run; effective tolerance up to 2e4 x requested; global zero-crossing disabled)</t>
        </is>
      </c>
      <c r="E36" s="72" t="inlineStr">
        <is>
          <t>Native plant in the same harness: no solver warnings; verdicts, temperatures and SOC agree (11/11) | v1.2: CSX4091 25.5 h legacy-settings run: 32,471 solver warnings (min-step from t = 0.0015 s, throughout). Energy balance still closes within ~1% (SOC-derived 817 vs 812 kWh out on Rev C)</t>
        </is>
      </c>
      <c r="F36" s="72" t="inlineStr">
        <is>
          <t>Phase 3 instantaneous currents near transitions are not reliable; summary metrics and verdicts are</t>
        </is>
      </c>
      <c r="G36" s="72" t="inlineStr">
        <is>
          <t>Bill: review dclink/lcc switching laws and zero-crossing setting; use native plant for transient studies | v1.2: Bill: model Rev D smooths brake/TE-sign/precharge discontinuities, tests zero-crossing on (C-26); use native plant (no warnings) as cross-check for transients</t>
        </is>
      </c>
    </row>
    <row r="37" ht="23.25" customHeight="1" s="65">
      <c r="A37" s="72" t="inlineStr">
        <is>
          <t>RSK-NEW-41</t>
        </is>
      </c>
      <c r="B37" s="72" t="inlineStr">
        <is>
          <t>MED</t>
        </is>
      </c>
      <c r="C37" s="72" t="inlineStr">
        <is>
          <t>Main DC-link contactor close spike</t>
        </is>
      </c>
      <c r="D37" s="72" t="inlineStr">
        <is>
          <t>Native model: ~2.3 kA for ~0.12 ms when the main contactor closes at 99% of bus voltage (~14 V across ~6 mOhm)</t>
        </is>
      </c>
      <c r="E37" s="72" t="inlineStr">
        <is>
          <t>No main-contactor make rating or close criterion (% of bus vs absolute dV) documented; owner VMS VIO vs LCC open (RSK-NEW-01)</t>
        </is>
      </c>
      <c r="F37" s="72" t="inlineStr">
        <is>
          <t>Contact wear or welding on every power-up (F02/F03)</t>
        </is>
      </c>
      <c r="G37" s="72" t="inlineStr">
        <is>
          <t>Micah + Integral: confirm close criterion, contactor make rating and repeat-precharge cooldown</t>
        </is>
      </c>
    </row>
    <row r="38" ht="34.5" customHeight="1" s="65">
      <c r="A38" s="72" t="inlineStr">
        <is>
          <t>RSK-NEW-42</t>
        </is>
      </c>
      <c r="B38" s="72" t="inlineStr">
        <is>
          <t>MED</t>
        </is>
      </c>
      <c r="C38" s="72" t="inlineStr">
        <is>
          <t>Charge taper and charge time</t>
        </is>
      </c>
      <c r="D38" s="72" t="inlineStr">
        <is>
          <t>Model (Phase 3 and native): current tapers linearly in SOC from 93% to 95%; 92-&gt;93% in 79 s at 1884 A, 93-&gt;94.9% takes ~520 s</t>
        </is>
      </c>
      <c r="E38" s="72" t="inlineStr">
        <is>
          <t>BMS likely tapers on cell voltage (CV phase); band and thresholds not documented</t>
        </is>
      </c>
      <c r="F38" s="72" t="inlineStr">
        <is>
          <t>Charge-time budget for the showcase and daily duty (DR charge window)</t>
        </is>
      </c>
      <c r="G38" s="72" t="inlineStr">
        <is>
          <t>Micah + Jinko: BMS taper basis and thresholds; update model</t>
        </is>
      </c>
    </row>
    <row r="39" ht="34.5" customHeight="1" s="65">
      <c r="A39" s="72" t="inlineStr">
        <is>
          <t>RSK-NEW-44</t>
        </is>
      </c>
      <c r="B39" s="72" t="inlineStr">
        <is>
          <t>MED</t>
        </is>
      </c>
      <c r="C39" s="72" t="inlineStr">
        <is>
          <t>Polarity reverser removal</t>
        </is>
      </c>
      <c r="D39" s="72" t="inlineStr">
        <is>
          <t>Architecture: reverser selects incoming pantograph polarity</t>
        </is>
      </c>
      <c r="E39" s="72" t="inlineStr">
        <is>
          <t>AES-fed rigid overhead line has fixed, Voltify-controlled polarity</t>
        </is>
      </c>
      <c r="F39" s="72" t="inlineStr">
        <is>
          <t>Removing the reverser (and part of VIO #4 scope) simplifies the HVR; only needed for third-party catenary</t>
        </is>
      </c>
      <c r="G39" s="72" t="inlineStr">
        <is>
          <t>Daphna + Bill: roadmap decision on third-party catenary</t>
        </is>
      </c>
    </row>
    <row r="40" ht="34.5" customHeight="1" s="65">
      <c r="A40" s="72" t="inlineStr">
        <is>
          <t>RSK-NEW-45</t>
        </is>
      </c>
      <c r="B40" s="72" t="inlineStr">
        <is>
          <t>MED</t>
        </is>
      </c>
      <c r="C40" s="72" t="inlineStr">
        <is>
          <t>ITV capacitor discharge into roof fault</t>
        </is>
      </c>
      <c r="D40" s="72" t="inlineStr">
        <is>
          <t>ITV DC-link capacitance 13.8 mF at 1500 V (~15.5 kJ)</t>
        </is>
      </c>
      <c r="E40" s="72" t="inlineStr">
        <is>
          <t>HSCB cannot interrupt capacitor discharge</t>
        </is>
      </c>
      <c r="F40" s="72" t="inlineStr">
        <is>
          <t>Fault energy limited only by path impedance; busbar, cable and surge arrester ratings unverified</t>
        </is>
      </c>
      <c r="G40" s="72" t="inlineStr">
        <is>
          <t>Micah: verify ratings and path inductance</t>
        </is>
      </c>
    </row>
    <row r="41" ht="34.5" customHeight="1" s="65">
      <c r="A41" s="72" t="inlineStr">
        <is>
          <t>RSK-NEW-46</t>
        </is>
      </c>
      <c r="B41" s="72" t="inlineStr">
        <is>
          <t>MED</t>
        </is>
      </c>
      <c r="C41" s="72" t="inlineStr">
        <is>
          <t>MCS charge routing</t>
        </is>
      </c>
      <c r="D41" s="72" t="inlineStr">
        <is>
          <t>Architecture doc: MCS path through HSCB stack and ITV</t>
        </is>
      </c>
      <c r="E41" s="72" t="inlineStr">
        <is>
          <t>Oct 8 (Jonathan/Bill): MCS direct to TRB-BUS is the baseline</t>
        </is>
      </c>
      <c r="F41" s="72" t="inlineStr">
        <is>
          <t>Changes HSCB scope and MCS protection design</t>
        </is>
      </c>
      <c r="G41" s="72" t="inlineStr">
        <is>
          <t>Micah: update architecture doc</t>
        </is>
      </c>
    </row>
    <row r="42" ht="23.25" customHeight="1" s="65">
      <c r="A42" s="71" t="inlineStr">
        <is>
          <t>RSK-NEW-02</t>
        </is>
      </c>
      <c r="B42" s="71" t="inlineStr">
        <is>
          <t>LOW</t>
        </is>
      </c>
      <c r="C42" s="71" t="inlineStr">
        <is>
          <t>String count / capacity</t>
        </is>
      </c>
      <c r="D42" s="71" t="inlineStr">
        <is>
          <t>Architecture: 6 strings x 4 packs</t>
        </is>
      </c>
      <c r="E42" s="71" t="inlineStr">
        <is>
          <t>Oct 6 decision (demo plan): 48 batteries, 6 strings at ~1,500 V; deck still implies 12 strings</t>
        </is>
      </c>
      <c r="F42" s="71" t="inlineStr">
        <is>
          <t>Resolved; documents need updating</t>
        </is>
      </c>
      <c r="G42" s="71" t="inlineStr">
        <is>
          <t>Micah: update deck text; retire 12-string references</t>
        </is>
      </c>
    </row>
    <row r="43" ht="34.5" customHeight="1" s="65">
      <c r="A43" s="71" t="inlineStr">
        <is>
          <t>RSK-NEW-11</t>
        </is>
      </c>
      <c r="B43" s="71" t="inlineStr">
        <is>
          <t>LOW</t>
        </is>
      </c>
      <c r="C43" s="71" t="inlineStr">
        <is>
          <t>Battery capacity naming</t>
        </is>
      </c>
      <c r="D43" s="71" t="inlineStr">
        <is>
          <t>Architecture: 5.016 MWh</t>
        </is>
      </c>
      <c r="E43" s="71" t="inlineStr">
        <is>
          <t>HLR 4.2 MWh Phase 1 (retired by Oct 6 decision)</t>
        </is>
      </c>
      <c r="F43" s="71" t="inlineStr">
        <is>
          <t>All energy math now uses 5.02 MWh</t>
        </is>
      </c>
      <c r="G43" s="71" t="inlineStr">
        <is>
          <t>Micah: remove 4.2 MWh from deck and HLR</t>
        </is>
      </c>
    </row>
    <row r="44" ht="23.85" customHeight="1" s="65">
      <c r="A44" s="71" t="inlineStr">
        <is>
          <t>RSK-NEW-05</t>
        </is>
      </c>
      <c r="B44" s="71" t="inlineStr">
        <is>
          <t>LOW</t>
        </is>
      </c>
      <c r="C44" s="71" t="inlineStr">
        <is>
          <t>Dynamic brake</t>
        </is>
      </c>
      <c r="D44" s="71" t="inlineStr">
        <is>
          <t>GP40-V spec: new DB grids, regen on DB grids</t>
        </is>
      </c>
      <c r="E44" s="71" t="inlineStr">
        <is>
          <t>HLR: not supporting dynamic/regen braking</t>
        </is>
      </c>
      <c r="F44" s="71" t="inlineStr">
        <is>
          <t>No longer a transport issue; confirm for yard duty (F25)</t>
        </is>
      </c>
      <c r="G44" s="71" t="inlineStr">
        <is>
          <t>Daphna: confirm with CSX</t>
        </is>
      </c>
    </row>
    <row r="45" ht="15" customHeight="1" s="65">
      <c r="A45" s="71" t="inlineStr">
        <is>
          <t>RSK-NEW-09</t>
        </is>
      </c>
      <c r="B45" s="71" t="inlineStr">
        <is>
          <t>LOW</t>
        </is>
      </c>
      <c r="C45" s="71" t="inlineStr">
        <is>
          <t>Huntington charging entry</t>
        </is>
      </c>
      <c r="D45" s="71" t="inlineStr">
        <is>
          <t>Packs may need shop charging</t>
        </is>
      </c>
      <c r="E45" s="71" t="inlineStr">
        <is>
          <t>No defined entry point; MCS controller not developed</t>
        </is>
      </c>
      <c r="F45" s="71" t="inlineStr">
        <is>
          <t>Only needed if SOC low (F36)</t>
        </is>
      </c>
      <c r="G45" s="71" t="inlineStr">
        <is>
          <t>Mitchell: procedure if needed</t>
        </is>
      </c>
    </row>
    <row r="46" ht="23.85" customHeight="1" s="65">
      <c r="A46" s="71" t="inlineStr">
        <is>
          <t>RSK-NEW-12</t>
        </is>
      </c>
      <c r="B46" s="71" t="inlineStr">
        <is>
          <t>LOW</t>
        </is>
      </c>
      <c r="C46" s="71" t="inlineStr">
        <is>
          <t>Load test</t>
        </is>
      </c>
      <c r="D46" s="71" t="inlineStr">
        <is>
          <t>GP40-V spec: load testing and calibration before release, 2,000-3,000 HP</t>
        </is>
      </c>
      <c r="E46" s="71" t="inlineStr">
        <is>
          <t>No DB grids / load box path in prototype</t>
        </is>
      </c>
      <c r="F46" s="71" t="inlineStr">
        <is>
          <t>Release test undefined</t>
        </is>
      </c>
      <c r="G46" s="71" t="inlineStr">
        <is>
          <t>Dragan: define prototype load test</t>
        </is>
      </c>
    </row>
    <row r="47" ht="35.05" customHeight="1" s="65">
      <c r="A47" s="72" t="inlineStr">
        <is>
          <t>RSK-NEW-37</t>
        </is>
      </c>
      <c r="B47" s="72" t="inlineStr">
        <is>
          <t>LOW</t>
        </is>
      </c>
      <c r="C47" s="72" t="inlineStr">
        <is>
          <t>Converter labels and 24 V PS count</t>
        </is>
      </c>
      <c r="D47" s="72" t="inlineStr">
        <is>
          <t>Architecture doc: converter table labels; 5 x 500 W 24 V PS</t>
        </is>
      </c>
      <c r="E47" s="72" t="inlineStr">
        <is>
          <t>POC Power Budget: NetPower is 14 V 6 kW and DCC65M24 28.3 V 7.5 kW (labels swapped); 4 x RMD500 (2 kW)</t>
        </is>
      </c>
      <c r="F47" s="72" t="inlineStr">
        <is>
          <t>Documentation error only</t>
        </is>
      </c>
      <c r="G47" s="72" t="inlineStr">
        <is>
          <t>Micah: update architecture doc</t>
        </is>
      </c>
    </row>
    <row r="48">
      <c r="A48" s="74" t="inlineStr">
        <is>
          <t>RSK-NEW-47</t>
        </is>
      </c>
      <c r="B48" s="74" t="inlineStr">
        <is>
          <t>LOW</t>
        </is>
      </c>
      <c r="C48" s="74" t="inlineStr">
        <is>
          <t>D77 flux/torque basis</t>
        </is>
      </c>
      <c r="D48" s="74" t="inlineStr">
        <is>
          <t>Model to Rev B: Kphi = 9.0(1-exp(-I/600)), fitted to one FRA point</t>
        </is>
      </c>
      <c r="E48" s="74" t="inlineStr">
        <is>
          <t>D77-D78 curve (Jonathan, 40 in / 62:15): Kphi 10-26% higher below 600 A; R ~0.030 Ohm from stall line</t>
        </is>
      </c>
      <c r="F48" s="74" t="inlineStr">
        <is>
          <t>Torque per amp, current and loss at yard currents; top speed at the 750 V cap (~36 vs ~42 mph at 500 A)</t>
        </is>
      </c>
      <c r="G48" s="74" t="inlineStr">
        <is>
          <t>Closed by model Rev C; Bill: confirm wheel diameter (42 in per Jonathan, 40 in GP40 standard)</t>
        </is>
      </c>
    </row>
    <row r="49">
      <c r="A49" s="74" t="inlineStr">
        <is>
          <t>RSK-NEW-48</t>
        </is>
      </c>
      <c r="B49" s="74" t="inlineStr">
        <is>
          <t>MED</t>
        </is>
      </c>
      <c r="C49" s="74" t="inlineStr">
        <is>
          <t>D77 short-time ratings not enforced</t>
        </is>
      </c>
      <c r="D49" s="74" t="inlineStr">
        <is>
          <t>D77 curve: 1,050 A continuous, 1,150 A 15 min, 1,500 A 5 min</t>
        </is>
      </c>
      <c r="E49" s="74" t="inlineStr">
        <is>
          <t>Model and LCC proxy: 1,500 A limit with no time limit; no LCC derate rule documented</t>
        </is>
      </c>
      <c r="F49" s="74" t="inlineStr">
        <is>
          <t>Notch 8 for 15 min runs ~1,060 A per motor; heavy LC-3 starts can exceed the 15-min rating (F49, F50)</t>
        </is>
      </c>
      <c r="G49" s="74" t="inlineStr">
        <is>
          <t>Integral: LCC motor current/time derate; Bill: add I^2t check to model report</t>
        </is>
      </c>
    </row>
    <row r="50">
      <c r="A50" s="74" t="inlineStr">
        <is>
          <t>RSK-NEW-49</t>
        </is>
      </c>
      <c r="B50" s="74" t="inlineStr">
        <is>
          <t>MED</t>
        </is>
      </c>
      <c r="C50" s="74" t="inlineStr">
        <is>
          <t>Traction power cap</t>
        </is>
      </c>
      <c r="D50" s="74" t="inlineStr">
        <is>
          <t>Jonathan (2026-10-15): prototype uses 500 hp per motor (373 kW; 1.49 MW total)</t>
        </is>
      </c>
      <c r="E50" s="74" t="inlineStr">
        <is>
          <t>Model and arch basis: 536 kW per motor (D77 FRA input rating; 2.144 MW); choppers 655 kW</t>
        </is>
      </c>
      <c r="F50" s="74" t="inlineStr">
        <is>
          <t>Notch 8 balancing speed 14 vs 20 mph on LC-3; energy per pull; which cap the LCC enforces is undefined (MODEL_NOTES #6)</t>
        </is>
      </c>
      <c r="G50" s="74" t="inlineStr">
        <is>
          <t>Jonathan + Integral: written LCC power limit; Bill: rerun J-17 load sizing at the chosen cap</t>
        </is>
      </c>
    </row>
    <row r="51">
      <c r="A51" s="74" t="inlineStr">
        <is>
          <t>RSK-NEW-50</t>
        </is>
      </c>
      <c r="B51" s="74" t="inlineStr">
        <is>
          <t>MED</t>
        </is>
      </c>
      <c r="C51" s="74" t="inlineStr">
        <is>
          <t>Pack topology in the model</t>
        </is>
      </c>
      <c r="D51" s="74" t="inlineStr">
        <is>
          <t>Oct 6 decision: 48 batteries, 6 strings at ~1,500 V</t>
        </is>
      </c>
      <c r="E51" s="74" t="inlineStr">
        <is>
          <t>Phase 3 / Rev C model: 416S x 12 strings (~1,331 V nominal, 1,884 A)</t>
        </is>
      </c>
      <c r="F51" s="74" t="inlineStr">
        <is>
          <t>Same energy, but bus voltage, current and I^2R losses differ by ~10-15%; BMS current limit basis</t>
        </is>
      </c>
      <c r="G51" s="74" t="inlineStr">
        <is>
          <t>Bill: confirm string/series count with Micah; update proto_loco_params battery block (model Rev D)</t>
        </is>
      </c>
    </row>
    <row r="52">
      <c r="A52" s="74" t="inlineStr">
        <is>
          <t>RSK-NEW-51</t>
        </is>
      </c>
      <c r="B52" s="74" t="inlineStr">
        <is>
          <t>LOW</t>
        </is>
      </c>
      <c r="C52" s="74" t="inlineStr">
        <is>
          <t>Regen opportunity (post-demo)</t>
        </is>
      </c>
      <c r="D52" s="74" t="inlineStr">
        <is>
          <t>Prototype: no regen; all braking friction</t>
        </is>
      </c>
      <c r="E52" s="74" t="inlineStr">
        <is>
          <t>CSX4091 Rev C decomposition (v1.4): 181.6 kWh/day into friction brakes (49% of wheel energy, ~55% of recorder rail energy)</t>
        </is>
      </c>
      <c r="F52" s="74" t="inlineStr">
        <is>
          <t>~150 kWh/day recoverable (~18% of battery output) if regen is added; brake wear; heat in yard</t>
        </is>
      </c>
      <c r="G52" s="74" t="inlineStr">
        <is>
          <t>Daphna + Bill: post-demo roadmap item</t>
        </is>
      </c>
    </row>
    <row r="53">
      <c r="A53" s="74" t="inlineStr">
        <is>
          <t>RSK-NEW-52</t>
        </is>
      </c>
      <c r="B53" s="74" t="inlineStr">
        <is>
          <t>HIGH</t>
        </is>
      </c>
      <c r="C53" s="74" t="inlineStr">
        <is>
          <t>Dynamic charging without the ITV</t>
        </is>
      </c>
      <c r="D53" s="74" t="inlineStr">
        <is>
          <t>HLR fallback: pantographs to TRB-bus if the ITV is late</t>
        </is>
      </c>
      <c r="E53" s="74" t="inlineStr">
        <is>
          <t>Jonathan 2026-10-12: no filtering; contact-wire transients reach the Zekalabs 750V-PS (1.7 kV SiC) on the same HVR port; little spike margin near 1.5 kV</t>
        </is>
      </c>
      <c r="F53" s="74" t="inlineStr">
        <is>
          <t>Aux supply damage and loss of the 750 V bus during Showcase 2 (F69)</t>
        </is>
      </c>
      <c r="G53" s="74" t="inlineStr">
        <is>
          <t>Decision proposed: no dynamic charging without the ITV; Micah: surge/filter review before any ITV-bypass static charging</t>
        </is>
      </c>
    </row>
    <row r="54">
      <c r="A54" s="74" t="inlineStr">
        <is>
          <t>RSK-NEW-53</t>
        </is>
      </c>
      <c r="B54" s="74" t="inlineStr">
        <is>
          <t>MED</t>
        </is>
      </c>
      <c r="C54" s="74" t="inlineStr">
        <is>
          <t>Demo charge limit vs charge window</t>
        </is>
      </c>
      <c r="D54" s="74" t="inlineStr">
        <is>
          <t>Showcase 2: up to 2 mi at 0.5 mph, segment A &gt;= 10 min at the cap</t>
        </is>
      </c>
      <c r="E54" s="74" t="inlineStr">
        <is>
          <t>Demo limit 2.1 MW at the wire / 1,666 A (ground ESS 0.5C); 20-&gt;95% SOC at 2.1 MW takes ~1.9 h (~1 mi)</t>
        </is>
      </c>
      <c r="F54" s="74" t="inlineStr">
        <is>
          <t>Showcase script and SOC plan must fit the lower power; wire voltage below 1,260 V makes the 1,666 A limit bind first</t>
        </is>
      </c>
      <c r="G54" s="74" t="inlineStr">
        <is>
          <t>Bill: update the Showcase 2 script; Matan/Oren: confirm wire voltage range and DPS100 settings (J-25)</t>
        </is>
      </c>
    </row>
    <row r="55">
      <c r="A55" s="74" t="inlineStr">
        <is>
          <t>RSK-NEW-54</t>
        </is>
      </c>
      <c r="B55" s="74" t="inlineStr">
        <is>
          <t>MED</t>
        </is>
      </c>
      <c r="C55" s="74" t="inlineStr">
        <is>
          <t>Motor resistance / loss basis</t>
        </is>
      </c>
      <c r="D55" s="74" t="inlineStr">
        <is>
          <t>Model: R_m 0.035 ohm per D77 (armature + field), copper loss only; no iron, brush or windage loss</t>
        </is>
      </c>
      <c r="E55" s="74" t="inlineStr">
        <is>
          <t>No source document for R_m; D77-D78.pdf and Integral data not yet checked for hot resistance</t>
        </is>
      </c>
      <c r="F55" s="74" t="inlineStr">
        <is>
          <t>Motor copper is the largest drivetrain loss: 110.5 kWh/day yard (13.6% of battery energy), motor 77% efficient while motoring; drives motor heating and range</t>
        </is>
      </c>
      <c r="G55" s="74" t="inlineStr">
        <is>
          <t>Integral via Jonathan: D77 hot armature + series-field resistance and loss data; Bill: update P.ax.R_m and add core/brush loss if material (G-21)</t>
        </is>
      </c>
    </row>
    <row r="56">
      <c r="A56" s="74" t="inlineStr">
        <is>
          <t>RSK-NEW-55</t>
        </is>
      </c>
      <c r="B56" s="74" t="inlineStr">
        <is>
          <t>MED</t>
        </is>
      </c>
      <c r="C56" s="74" t="inlineStr">
        <is>
          <t>Standstill power management</t>
        </is>
      </c>
      <c r="D56" s="74" t="inlineStr">
        <is>
          <t>CSX4091 yard model: loco stationary 66% of the day; aux budget + TMS + converter = 310 kWh/day (38% of battery energy), 123 kWh while stopped</t>
        </is>
      </c>
      <c r="E56" s="74" t="inlineStr">
        <is>
          <t>No requirement or state rule for shedding aux/TMS load at standstill (SLEEP/STANDBY entry, timers)</t>
        </is>
      </c>
      <c r="F56" s="74" t="inlineStr">
        <is>
          <t>Hotel load is a bigger range lever than any drivetrain efficiency gain; also sets the charge-interval plan</t>
        </is>
      </c>
      <c r="G56" s="74" t="inlineStr">
        <is>
          <t>Micah + Bill: define standstill load-shed rules in the state manager; measure in H-17/J-18; re-run decomposition</t>
        </is>
      </c>
    </row>
    <row r="57">
      <c r="A57" s="74" t="inlineStr">
        <is>
          <t>RSK-NEW-56</t>
        </is>
      </c>
      <c r="B57" s="74" t="inlineStr">
        <is>
          <t>LOW</t>
        </is>
      </c>
      <c r="C57" s="74" t="inlineStr">
        <is>
          <t>Model vs recorder energy</t>
        </is>
      </c>
      <c r="D57" s="74" t="inlineStr">
        <is>
          <t>Model Rev C wheel energy 1.09-1.11 x the CSX4091 recorder rail energy (yard 369.1 vs 331.1 kWh)</t>
        </is>
      </c>
      <c r="E57" s="74" t="inlineStr">
        <is>
          <t>Rev B tonnage was energy-fit to the recorder; ratio should be ~1.0</t>
        </is>
      </c>
      <c r="F57" s="74" t="inlineStr">
        <is>
          <t>Range and charge-interval estimates ~10% conservative; friction share may be inflated by speed-loop hunting on 1 Hz recorder speed</t>
        </is>
      </c>
      <c r="G57" s="74" t="inlineStr">
        <is>
          <t>Bill: check fit basis, Crr and speed tracking (G-22); Dragan: switch list / car counts (G-13)</t>
        </is>
      </c>
    </row>
  </sheetData>
  <autoFilter ref="A1:G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1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4" min="1" max="1"/>
    <col width="12" customWidth="1" style="64" min="2" max="2"/>
    <col width="10" customWidth="1" style="64" min="3" max="7"/>
    <col width="11" customWidth="1" style="64" min="8" max="11"/>
    <col width="10" customWidth="1" style="64" min="12" max="13"/>
    <col width="9" customWidth="1" style="64" min="14" max="14"/>
    <col width="60" customWidth="1" style="64" min="15" max="15"/>
  </cols>
  <sheetData>
    <row r="1" ht="15" customHeight="1" s="65">
      <c r="A1" s="75" t="inlineStr">
        <is>
          <t>MATLAB Phase 2 thermal sweep (proto_loco, 2026-10-08): 8 scenarios x 5 ambients x 2 start conditions — Phase 2 parameters (24 kW heater; pre-POC baseline)</t>
        </is>
      </c>
    </row>
    <row r="2" ht="15" customHeight="1" s="65">
      <c r="A2" s="73" t="inlineStr">
        <is>
          <t>OPTIMAL: cell 15-35 C, no derate, &gt;=3 K margin on every PE/condenser limit. OK: inside BMS L1, no derate. DERATED: BMS derate or speed not held. FAIL: hard limit (BMS L2, charger 55 C, inverter 60 C, chopper 63 C, condenser 65 C, motor 180 C).</t>
        </is>
      </c>
    </row>
    <row r="3" ht="15" customHeight="1" s="65">
      <c r="A3" s="73" t="inlineStr">
        <is>
          <t>Placeholders drive the 40-50 C results (MODEL_NOTES Phase 2 table). Jinko as-shipped BMS thresholds. Python replica matches within ~0.2 K.</t>
        </is>
      </c>
    </row>
    <row r="5" ht="15" customHeight="1" s="65">
      <c r="A5" s="75" t="inlineStr">
        <is>
          <t>Preconditioned start (pack at 25 C)</t>
        </is>
      </c>
    </row>
    <row r="6" ht="15" customHeight="1" s="65">
      <c r="A6" s="70" t="inlineStr">
        <is>
          <t>Scenario</t>
        </is>
      </c>
      <c r="B6" s="70" t="inlineStr">
        <is>
          <t>DVP</t>
        </is>
      </c>
      <c r="C6" s="70" t="inlineStr">
        <is>
          <t>0 C</t>
        </is>
      </c>
      <c r="D6" s="70" t="inlineStr">
        <is>
          <t>10 C</t>
        </is>
      </c>
      <c r="E6" s="70" t="inlineStr">
        <is>
          <t>20 C</t>
        </is>
      </c>
      <c r="F6" s="70" t="inlineStr">
        <is>
          <t>40 C</t>
        </is>
      </c>
      <c r="G6" s="70" t="inlineStr">
        <is>
          <t>50 C</t>
        </is>
      </c>
    </row>
    <row r="7" ht="15" customHeight="1" s="65">
      <c r="A7" s="99" t="inlineStr">
        <is>
          <t>S1_first_move</t>
        </is>
      </c>
      <c r="B7" s="99" t="inlineStr">
        <is>
          <t>H-12/H-13</t>
        </is>
      </c>
      <c r="C7" s="100" t="inlineStr">
        <is>
          <t>OPTIMAL</t>
        </is>
      </c>
      <c r="D7" s="100" t="inlineStr">
        <is>
          <t>OPTIMAL</t>
        </is>
      </c>
      <c r="E7" s="100" t="inlineStr">
        <is>
          <t>OPTIMAL</t>
        </is>
      </c>
      <c r="F7" s="100" t="inlineStr">
        <is>
          <t>OPTIMAL</t>
        </is>
      </c>
      <c r="G7" s="100" t="inlineStr">
        <is>
          <t>OPTIMAL</t>
        </is>
      </c>
    </row>
    <row r="8" ht="15" customHeight="1" s="65">
      <c r="A8" s="99" t="inlineStr">
        <is>
          <t>S2_showcase1</t>
        </is>
      </c>
      <c r="B8" s="99" t="inlineStr">
        <is>
          <t>J-02B</t>
        </is>
      </c>
      <c r="C8" s="100" t="inlineStr">
        <is>
          <t>OPTIMAL</t>
        </is>
      </c>
      <c r="D8" s="100" t="inlineStr">
        <is>
          <t>OPTIMAL</t>
        </is>
      </c>
      <c r="E8" s="100" t="inlineStr">
        <is>
          <t>OPTIMAL</t>
        </is>
      </c>
      <c r="F8" s="100" t="inlineStr">
        <is>
          <t>OPTIMAL</t>
        </is>
      </c>
      <c r="G8" s="100" t="inlineStr">
        <is>
          <t>OPTIMAL</t>
        </is>
      </c>
    </row>
    <row r="9" ht="15" customHeight="1" s="65">
      <c r="A9" s="99" t="inlineStr">
        <is>
          <t>S3_dyncharge_2p5MW</t>
        </is>
      </c>
      <c r="B9" s="99" t="inlineStr">
        <is>
          <t>J-09</t>
        </is>
      </c>
      <c r="C9" s="100" t="inlineStr">
        <is>
          <t>OPTIMAL</t>
        </is>
      </c>
      <c r="D9" s="100" t="inlineStr">
        <is>
          <t>OPTIMAL</t>
        </is>
      </c>
      <c r="E9" s="100" t="inlineStr">
        <is>
          <t>OPTIMAL</t>
        </is>
      </c>
      <c r="F9" s="101" t="inlineStr">
        <is>
          <t>OK</t>
        </is>
      </c>
      <c r="G9" s="102" t="inlineStr">
        <is>
          <t>FAIL</t>
        </is>
      </c>
    </row>
    <row r="10" ht="15" customHeight="1" s="65">
      <c r="A10" s="99" t="inlineStr">
        <is>
          <t>S4_dyncharge_3p0MW</t>
        </is>
      </c>
      <c r="B10" s="99" t="inlineStr">
        <is>
          <t>J-09 (3 MW)</t>
        </is>
      </c>
      <c r="C10" s="100" t="inlineStr">
        <is>
          <t>OPTIMAL</t>
        </is>
      </c>
      <c r="D10" s="100" t="inlineStr">
        <is>
          <t>OPTIMAL</t>
        </is>
      </c>
      <c r="E10" s="100" t="inlineStr">
        <is>
          <t>OPTIMAL</t>
        </is>
      </c>
      <c r="F10" s="101" t="inlineStr">
        <is>
          <t>OK</t>
        </is>
      </c>
      <c r="G10" s="102" t="inlineStr">
        <is>
          <t>FAIL</t>
        </is>
      </c>
    </row>
    <row r="11" ht="15" customHeight="1" s="65">
      <c r="A11" s="99" t="inlineStr">
        <is>
          <t>S5_cont_pull_10mph</t>
        </is>
      </c>
      <c r="B11" s="99" t="inlineStr">
        <is>
          <t>J-16/P-02</t>
        </is>
      </c>
      <c r="C11" s="100" t="inlineStr">
        <is>
          <t>OPTIMAL</t>
        </is>
      </c>
      <c r="D11" s="100" t="inlineStr">
        <is>
          <t>OPTIMAL</t>
        </is>
      </c>
      <c r="E11" s="100" t="inlineStr">
        <is>
          <t>OPTIMAL</t>
        </is>
      </c>
      <c r="F11" s="100" t="inlineStr">
        <is>
          <t>OPTIMAL</t>
        </is>
      </c>
      <c r="G11" s="101" t="inlineStr">
        <is>
          <t>OK</t>
        </is>
      </c>
    </row>
    <row r="12" ht="15" customHeight="1" s="65">
      <c r="A12" s="99" t="inlineStr">
        <is>
          <t>S6_notch8_15min</t>
        </is>
      </c>
      <c r="B12" s="99" t="inlineStr">
        <is>
          <t>J-17/P-01</t>
        </is>
      </c>
      <c r="C12" s="100" t="inlineStr">
        <is>
          <t>OPTIMAL</t>
        </is>
      </c>
      <c r="D12" s="100" t="inlineStr">
        <is>
          <t>OPTIMAL</t>
        </is>
      </c>
      <c r="E12" s="100" t="inlineStr">
        <is>
          <t>OPTIMAL</t>
        </is>
      </c>
      <c r="F12" s="100" t="inlineStr">
        <is>
          <t>OPTIMAL</t>
        </is>
      </c>
      <c r="G12" s="102" t="inlineStr">
        <is>
          <t>FAIL</t>
        </is>
      </c>
    </row>
    <row r="13" ht="15" customHeight="1" s="65">
      <c r="A13" s="99" t="inlineStr">
        <is>
          <t>S7_switch_shift_8h</t>
        </is>
      </c>
      <c r="B13" s="99" t="inlineStr">
        <is>
          <t>J-18</t>
        </is>
      </c>
      <c r="C13" s="100" t="inlineStr">
        <is>
          <t>OPTIMAL</t>
        </is>
      </c>
      <c r="D13" s="100" t="inlineStr">
        <is>
          <t>OPTIMAL</t>
        </is>
      </c>
      <c r="E13" s="100" t="inlineStr">
        <is>
          <t>OPTIMAL</t>
        </is>
      </c>
      <c r="F13" s="101" t="inlineStr">
        <is>
          <t>OK</t>
        </is>
      </c>
      <c r="G13" s="102" t="inlineStr">
        <is>
          <t>FAIL</t>
        </is>
      </c>
    </row>
    <row r="14" ht="15" customHeight="1" s="65">
      <c r="A14" s="99" t="inlineStr">
        <is>
          <t>S8_park_6h</t>
        </is>
      </c>
      <c r="B14" s="99" t="inlineStr">
        <is>
          <t>G6 / J-21</t>
        </is>
      </c>
      <c r="C14" s="100" t="inlineStr">
        <is>
          <t>OPTIMAL</t>
        </is>
      </c>
      <c r="D14" s="100" t="inlineStr">
        <is>
          <t>OPTIMAL</t>
        </is>
      </c>
      <c r="E14" s="100" t="inlineStr">
        <is>
          <t>OPTIMAL</t>
        </is>
      </c>
      <c r="F14" s="100" t="inlineStr">
        <is>
          <t>OPTIMAL</t>
        </is>
      </c>
      <c r="G14" s="102" t="inlineStr">
        <is>
          <t>FAIL</t>
        </is>
      </c>
    </row>
    <row r="17" ht="15" customHeight="1" s="65">
      <c r="A17" s="75" t="inlineStr">
        <is>
          <t>Soaked start (pack at ambient)</t>
        </is>
      </c>
    </row>
    <row r="18" ht="15" customHeight="1" s="65">
      <c r="A18" s="70" t="inlineStr">
        <is>
          <t>Scenario</t>
        </is>
      </c>
      <c r="B18" s="70" t="inlineStr">
        <is>
          <t>DVP</t>
        </is>
      </c>
      <c r="C18" s="70" t="inlineStr">
        <is>
          <t>0 C</t>
        </is>
      </c>
      <c r="D18" s="70" t="inlineStr">
        <is>
          <t>10 C</t>
        </is>
      </c>
      <c r="E18" s="70" t="inlineStr">
        <is>
          <t>20 C</t>
        </is>
      </c>
      <c r="F18" s="70" t="inlineStr">
        <is>
          <t>40 C</t>
        </is>
      </c>
      <c r="G18" s="70" t="inlineStr">
        <is>
          <t>50 C</t>
        </is>
      </c>
    </row>
    <row r="19" ht="15" customHeight="1" s="65">
      <c r="A19" s="99" t="inlineStr">
        <is>
          <t>S1_first_move</t>
        </is>
      </c>
      <c r="B19" s="99" t="inlineStr">
        <is>
          <t>H-12/H-13</t>
        </is>
      </c>
      <c r="C19" s="102" t="inlineStr">
        <is>
          <t>FAIL</t>
        </is>
      </c>
      <c r="D19" s="101" t="inlineStr">
        <is>
          <t>OK</t>
        </is>
      </c>
      <c r="E19" s="100" t="inlineStr">
        <is>
          <t>OPTIMAL</t>
        </is>
      </c>
      <c r="F19" s="101" t="inlineStr">
        <is>
          <t>OK</t>
        </is>
      </c>
      <c r="G19" s="102" t="inlineStr">
        <is>
          <t>FAIL</t>
        </is>
      </c>
    </row>
    <row r="20" ht="15" customHeight="1" s="65">
      <c r="A20" s="99" t="inlineStr">
        <is>
          <t>S2_showcase1</t>
        </is>
      </c>
      <c r="B20" s="99" t="inlineStr">
        <is>
          <t>J-02B</t>
        </is>
      </c>
      <c r="C20" s="102" t="inlineStr">
        <is>
          <t>FAIL</t>
        </is>
      </c>
      <c r="D20" s="101" t="inlineStr">
        <is>
          <t>OK</t>
        </is>
      </c>
      <c r="E20" s="100" t="inlineStr">
        <is>
          <t>OPTIMAL</t>
        </is>
      </c>
      <c r="F20" s="101" t="inlineStr">
        <is>
          <t>OK</t>
        </is>
      </c>
      <c r="G20" s="102" t="inlineStr">
        <is>
          <t>FAIL</t>
        </is>
      </c>
    </row>
    <row r="21" ht="15" customHeight="1" s="65">
      <c r="A21" s="99" t="inlineStr">
        <is>
          <t>S3_dyncharge_2p5MW</t>
        </is>
      </c>
      <c r="B21" s="99" t="inlineStr">
        <is>
          <t>J-09</t>
        </is>
      </c>
      <c r="C21" s="102" t="inlineStr">
        <is>
          <t>FAIL</t>
        </is>
      </c>
      <c r="D21" s="101" t="inlineStr">
        <is>
          <t>OK</t>
        </is>
      </c>
      <c r="E21" s="100" t="inlineStr">
        <is>
          <t>OPTIMAL</t>
        </is>
      </c>
      <c r="F21" s="101" t="inlineStr">
        <is>
          <t>OK</t>
        </is>
      </c>
      <c r="G21" s="102" t="inlineStr">
        <is>
          <t>FAIL</t>
        </is>
      </c>
    </row>
    <row r="22" ht="15" customHeight="1" s="65">
      <c r="A22" s="99" t="inlineStr">
        <is>
          <t>S4_dyncharge_3p0MW</t>
        </is>
      </c>
      <c r="B22" s="99" t="inlineStr">
        <is>
          <t>J-09 (3 MW)</t>
        </is>
      </c>
      <c r="C22" s="102" t="inlineStr">
        <is>
          <t>FAIL</t>
        </is>
      </c>
      <c r="D22" s="101" t="inlineStr">
        <is>
          <t>OK</t>
        </is>
      </c>
      <c r="E22" s="100" t="inlineStr">
        <is>
          <t>OPTIMAL</t>
        </is>
      </c>
      <c r="F22" s="101" t="inlineStr">
        <is>
          <t>OK</t>
        </is>
      </c>
      <c r="G22" s="102" t="inlineStr">
        <is>
          <t>FAIL</t>
        </is>
      </c>
    </row>
    <row r="23" ht="15" customHeight="1" s="65">
      <c r="A23" s="99" t="inlineStr">
        <is>
          <t>S5_cont_pull_10mph</t>
        </is>
      </c>
      <c r="B23" s="99" t="inlineStr">
        <is>
          <t>J-16/P-02</t>
        </is>
      </c>
      <c r="C23" s="102" t="inlineStr">
        <is>
          <t>FAIL</t>
        </is>
      </c>
      <c r="D23" s="101" t="inlineStr">
        <is>
          <t>OK</t>
        </is>
      </c>
      <c r="E23" s="100" t="inlineStr">
        <is>
          <t>OPTIMAL</t>
        </is>
      </c>
      <c r="F23" s="101" t="inlineStr">
        <is>
          <t>OK</t>
        </is>
      </c>
      <c r="G23" s="102" t="inlineStr">
        <is>
          <t>FAIL</t>
        </is>
      </c>
    </row>
    <row r="24" ht="15" customHeight="1" s="65">
      <c r="A24" s="99" t="inlineStr">
        <is>
          <t>S6_notch8_15min</t>
        </is>
      </c>
      <c r="B24" s="99" t="inlineStr">
        <is>
          <t>J-17/P-01</t>
        </is>
      </c>
      <c r="C24" s="102" t="inlineStr">
        <is>
          <t>FAIL</t>
        </is>
      </c>
      <c r="D24" s="101" t="inlineStr">
        <is>
          <t>OK</t>
        </is>
      </c>
      <c r="E24" s="100" t="inlineStr">
        <is>
          <t>OPTIMAL</t>
        </is>
      </c>
      <c r="F24" s="101" t="inlineStr">
        <is>
          <t>OK</t>
        </is>
      </c>
      <c r="G24" s="102" t="inlineStr">
        <is>
          <t>FAIL</t>
        </is>
      </c>
    </row>
    <row r="25" ht="15" customHeight="1" s="65">
      <c r="A25" s="99" t="inlineStr">
        <is>
          <t>S7_switch_shift_8h</t>
        </is>
      </c>
      <c r="B25" s="99" t="inlineStr">
        <is>
          <t>J-18</t>
        </is>
      </c>
      <c r="C25" s="102" t="inlineStr">
        <is>
          <t>FAIL</t>
        </is>
      </c>
      <c r="D25" s="101" t="inlineStr">
        <is>
          <t>OK</t>
        </is>
      </c>
      <c r="E25" s="100" t="inlineStr">
        <is>
          <t>OPTIMAL</t>
        </is>
      </c>
      <c r="F25" s="101" t="inlineStr">
        <is>
          <t>OK</t>
        </is>
      </c>
      <c r="G25" s="102" t="inlineStr">
        <is>
          <t>FAIL</t>
        </is>
      </c>
    </row>
    <row r="26" ht="15" customHeight="1" s="65">
      <c r="A26" s="99" t="inlineStr">
        <is>
          <t>S8_park_6h</t>
        </is>
      </c>
      <c r="B26" s="99" t="inlineStr">
        <is>
          <t>G6 / J-21</t>
        </is>
      </c>
      <c r="C26" s="101" t="inlineStr">
        <is>
          <t>OK</t>
        </is>
      </c>
      <c r="D26" s="101" t="inlineStr">
        <is>
          <t>OK</t>
        </is>
      </c>
      <c r="E26" s="100" t="inlineStr">
        <is>
          <t>OPTIMAL</t>
        </is>
      </c>
      <c r="F26" s="101" t="inlineStr">
        <is>
          <t>OK</t>
        </is>
      </c>
      <c r="G26" s="102" t="inlineStr">
        <is>
          <t>FAIL</t>
        </is>
      </c>
    </row>
    <row r="30" ht="15" customHeight="1" s="65">
      <c r="A30" s="75" t="inlineStr">
        <is>
          <t>Findings</t>
        </is>
      </c>
    </row>
    <row r="31" ht="15" customHeight="1" s="65">
      <c r="A31" s="73" t="inlineStr">
        <is>
          <t>1. Preconditioned pack: cells stay 25-28 C in every case. The battery is not the thermal limiter.</t>
        </is>
      </c>
    </row>
    <row r="32" ht="15" customHeight="1" s="65">
      <c r="A32" s="73" t="inlineStr">
        <is>
          <t>2. PE loop limits first in heat: charger supply 57.6 C (2.5 MW) / 58.5 C (3 MW) at 50 C; 2.0 K margin at 40 C. Inverter fluid 60.4 C under Notch 8 at 50 C. Crossover ~46-50 C ambient (F54). | v1.3: Demo charge limit is now 2.1 MW (DR-17); S3 (2.5 MW) and S4 (3 MW) are bounding cases above it</t>
        </is>
      </c>
    </row>
    <row r="33" ht="15" customHeight="1" s="65">
      <c r="A33" s="73" t="inlineStr">
        <is>
          <t>3. Condenser loop reaches 69.4 C at 50 C ambient (check valves 65 C): 50 C is outside the Maxwell design window (F55).</t>
        </is>
      </c>
    </row>
    <row r="34" ht="15" customHeight="1" s="65">
      <c r="A34" s="73" t="inlineStr">
        <is>
          <t>4. Soaked 0 C: every move/charge fails (Jinko BMS blocks below 3 C). Heaters take ~1.9 h to 5 C (F56).</t>
        </is>
      </c>
    </row>
    <row r="35" ht="15" customHeight="1" s="65">
      <c r="A35" s="73" t="inlineStr">
        <is>
          <t>5. Soaked 10 C: OK, not OPTIMAL. Heating stops at 13.5 C, below the 15-35 C band (F57).</t>
        </is>
      </c>
    </row>
    <row r="36" ht="15" customHeight="1" s="65">
      <c r="A36" s="73" t="inlineStr">
        <is>
          <t>6. Soaked 50 C: cell starts at BMS L2; ~1.2 h to 45 C, ~3.6 h to 35 C. Soaked starts cost 100-200 kWh TMS energy per hot day (F58).</t>
        </is>
      </c>
    </row>
    <row r="37" ht="15" customHeight="1" s="65">
      <c r="A37" s="73" t="inlineStr">
        <is>
          <t>7. TMS energy per 8 h shift (preconditioned): 18 kWh at 0-20 C, 65 kWh at 40 C, 90 kWh at 50 C.</t>
        </is>
      </c>
    </row>
    <row r="39" ht="15" customHeight="1" s="65">
      <c r="A39" s="75" t="inlineStr">
        <is>
          <t>Full results (MATLAB run_thermal_sweep output; last row truncated in the pasted table)</t>
        </is>
      </c>
    </row>
    <row r="40" ht="23.25" customHeight="1" s="65">
      <c r="A40" s="70" t="inlineStr">
        <is>
          <t>scenario</t>
        </is>
      </c>
      <c r="B40" s="70" t="inlineStr">
        <is>
          <t>start</t>
        </is>
      </c>
      <c r="C40" s="70" t="inlineStr">
        <is>
          <t>T_amb (C)</t>
        </is>
      </c>
      <c r="D40" s="70" t="inlineStr">
        <is>
          <t>verdict</t>
        </is>
      </c>
      <c r="E40" s="70" t="inlineStr">
        <is>
          <t>Tcell_min</t>
        </is>
      </c>
      <c r="F40" s="70" t="inlineStr">
        <is>
          <t>Tcell_max</t>
        </is>
      </c>
      <c r="G40" s="70" t="inlineStr">
        <is>
          <t>PE supply max</t>
        </is>
      </c>
      <c r="H40" s="70" t="inlineStr">
        <is>
          <t>Charger supply max</t>
        </is>
      </c>
      <c r="I40" s="70" t="inlineStr">
        <is>
          <t>Inverter out max</t>
        </is>
      </c>
      <c r="J40" s="70" t="inlineStr">
        <is>
          <t>Condenser max</t>
        </is>
      </c>
      <c r="K40" s="70" t="inlineStr">
        <is>
          <t>k_dis_min</t>
        </is>
      </c>
      <c r="L40" s="70" t="inlineStr">
        <is>
          <t>k_chg_min</t>
        </is>
      </c>
      <c r="M40" s="70" t="inlineStr">
        <is>
          <t>soc_end</t>
        </is>
      </c>
      <c r="N40" s="70" t="inlineStr">
        <is>
          <t>E_tms (kWh)</t>
        </is>
      </c>
      <c r="O40" s="70" t="inlineStr">
        <is>
          <t>limit</t>
        </is>
      </c>
    </row>
    <row r="41" ht="15" customHeight="1" s="65">
      <c r="A41" s="99" t="inlineStr">
        <is>
          <t>S1_first_move</t>
        </is>
      </c>
      <c r="B41" s="99" t="inlineStr">
        <is>
          <t>soaked</t>
        </is>
      </c>
      <c r="C41" s="99" t="n">
        <v>0</v>
      </c>
      <c r="D41" s="103" t="inlineStr">
        <is>
          <t>FAIL</t>
        </is>
      </c>
      <c r="E41" s="104" t="n">
        <v>0</v>
      </c>
      <c r="F41" s="104" t="n">
        <v>0.15244</v>
      </c>
      <c r="G41" s="104" t="n">
        <v>2.1628</v>
      </c>
      <c r="H41" s="99" t="n"/>
      <c r="I41" s="104" t="n">
        <v>4.2462</v>
      </c>
      <c r="J41" s="104" t="n">
        <v>0</v>
      </c>
      <c r="K41" s="105" t="n">
        <v>0</v>
      </c>
      <c r="L41" s="105" t="n">
        <v>1</v>
      </c>
      <c r="M41" s="105" t="n">
        <v>0.49808</v>
      </c>
      <c r="N41" s="104" t="n">
        <v>2.8767</v>
      </c>
      <c r="O41" s="99" t="inlineStr">
        <is>
          <t>cell &lt;= BMS L2 cold</t>
        </is>
      </c>
    </row>
    <row r="42" ht="15" customHeight="1" s="65">
      <c r="A42" s="99" t="inlineStr">
        <is>
          <t>S1_first_move</t>
        </is>
      </c>
      <c r="B42" s="99" t="inlineStr">
        <is>
          <t>soaked</t>
        </is>
      </c>
      <c r="C42" s="99" t="n">
        <v>10</v>
      </c>
      <c r="D42" s="106" t="inlineStr">
        <is>
          <t>OK</t>
        </is>
      </c>
      <c r="E42" s="104" t="n">
        <v>10</v>
      </c>
      <c r="F42" s="104" t="n">
        <v>10.152</v>
      </c>
      <c r="G42" s="104" t="n">
        <v>12.304</v>
      </c>
      <c r="H42" s="99" t="n"/>
      <c r="I42" s="104" t="n">
        <v>14.42</v>
      </c>
      <c r="J42" s="104" t="n">
        <v>10</v>
      </c>
      <c r="K42" s="105" t="n">
        <v>1</v>
      </c>
      <c r="L42" s="105" t="n">
        <v>1</v>
      </c>
      <c r="M42" s="105" t="n">
        <v>0.49802</v>
      </c>
      <c r="N42" s="104" t="n">
        <v>2.8767</v>
      </c>
      <c r="O42" s="99" t="inlineStr">
        <is>
          <t>cell 10-10 C outside 15-35 C</t>
        </is>
      </c>
    </row>
    <row r="43" ht="15" customHeight="1" s="65">
      <c r="A43" s="99" t="inlineStr">
        <is>
          <t>S1_first_move</t>
        </is>
      </c>
      <c r="B43" s="99" t="inlineStr">
        <is>
          <t>soaked</t>
        </is>
      </c>
      <c r="C43" s="99" t="n">
        <v>20</v>
      </c>
      <c r="D43" s="107" t="inlineStr">
        <is>
          <t>OPTIMAL</t>
        </is>
      </c>
      <c r="E43" s="104" t="n">
        <v>20</v>
      </c>
      <c r="F43" s="104" t="n">
        <v>20</v>
      </c>
      <c r="G43" s="104" t="n">
        <v>21.828</v>
      </c>
      <c r="H43" s="99" t="n"/>
      <c r="I43" s="104" t="n">
        <v>23.432</v>
      </c>
      <c r="J43" s="104" t="n">
        <v>20</v>
      </c>
      <c r="K43" s="105" t="n">
        <v>1</v>
      </c>
      <c r="L43" s="105" t="n">
        <v>1</v>
      </c>
      <c r="M43" s="105" t="n">
        <v>0.49855</v>
      </c>
      <c r="N43" s="104" t="n">
        <v>0.24337</v>
      </c>
      <c r="O43" s="99" t="n"/>
    </row>
    <row r="44" ht="15" customHeight="1" s="65">
      <c r="A44" s="99" t="inlineStr">
        <is>
          <t>S1_first_move</t>
        </is>
      </c>
      <c r="B44" s="99" t="inlineStr">
        <is>
          <t>soaked</t>
        </is>
      </c>
      <c r="C44" s="99" t="n">
        <v>40</v>
      </c>
      <c r="D44" s="106" t="inlineStr">
        <is>
          <t>OK</t>
        </is>
      </c>
      <c r="E44" s="104" t="n">
        <v>39.679</v>
      </c>
      <c r="F44" s="104" t="n">
        <v>40</v>
      </c>
      <c r="G44" s="104" t="n">
        <v>42.385</v>
      </c>
      <c r="H44" s="99" t="n"/>
      <c r="I44" s="104" t="n">
        <v>44.595</v>
      </c>
      <c r="J44" s="104" t="n">
        <v>62.919</v>
      </c>
      <c r="K44" s="105" t="n">
        <v>1</v>
      </c>
      <c r="L44" s="105" t="n">
        <v>1</v>
      </c>
      <c r="M44" s="105" t="n">
        <v>0.49793</v>
      </c>
      <c r="N44" s="104" t="n">
        <v>3.3091</v>
      </c>
      <c r="O44" s="99" t="inlineStr">
        <is>
          <t>cell 40-40 C outside 15-35 C</t>
        </is>
      </c>
    </row>
    <row r="45" ht="15" customHeight="1" s="65">
      <c r="A45" s="99" t="inlineStr">
        <is>
          <t>S1_first_move</t>
        </is>
      </c>
      <c r="B45" s="99" t="inlineStr">
        <is>
          <t>soaked</t>
        </is>
      </c>
      <c r="C45" s="99" t="n">
        <v>50</v>
      </c>
      <c r="D45" s="103" t="inlineStr">
        <is>
          <t>FAIL</t>
        </is>
      </c>
      <c r="E45" s="104" t="n">
        <v>49.735</v>
      </c>
      <c r="F45" s="104" t="n">
        <v>50</v>
      </c>
      <c r="G45" s="104" t="n">
        <v>52.408</v>
      </c>
      <c r="H45" s="99" t="n"/>
      <c r="I45" s="104" t="n">
        <v>54.63</v>
      </c>
      <c r="J45" s="104" t="n">
        <v>69.39</v>
      </c>
      <c r="K45" s="105" t="n">
        <v>0.00019569</v>
      </c>
      <c r="L45" s="105" t="n">
        <v>1</v>
      </c>
      <c r="M45" s="105" t="n">
        <v>0.49791</v>
      </c>
      <c r="N45" s="104" t="n">
        <v>3.459</v>
      </c>
      <c r="O45" s="99" t="inlineStr">
        <is>
          <t>cell &gt;= BMS L2 hot; condenser loop &gt; 65 C (check valve)</t>
        </is>
      </c>
    </row>
    <row r="46" ht="15" customHeight="1" s="65">
      <c r="A46" s="99" t="inlineStr">
        <is>
          <t>S2_showcase1</t>
        </is>
      </c>
      <c r="B46" s="99" t="inlineStr">
        <is>
          <t>soaked</t>
        </is>
      </c>
      <c r="C46" s="99" t="n">
        <v>0</v>
      </c>
      <c r="D46" s="103" t="inlineStr">
        <is>
          <t>FAIL</t>
        </is>
      </c>
      <c r="E46" s="104" t="n">
        <v>0</v>
      </c>
      <c r="F46" s="104" t="n">
        <v>0.95355</v>
      </c>
      <c r="G46" s="104" t="n">
        <v>2.6872</v>
      </c>
      <c r="H46" s="99" t="n"/>
      <c r="I46" s="104" t="n">
        <v>4.8408</v>
      </c>
      <c r="J46" s="104" t="n">
        <v>0</v>
      </c>
      <c r="K46" s="105" t="n">
        <v>0</v>
      </c>
      <c r="L46" s="105" t="n">
        <v>1</v>
      </c>
      <c r="M46" s="105" t="n">
        <v>0.49204</v>
      </c>
      <c r="N46" s="104" t="n">
        <v>10.882</v>
      </c>
      <c r="O46" s="99" t="inlineStr">
        <is>
          <t>cell &lt;= BMS L2 cold</t>
        </is>
      </c>
    </row>
    <row r="47" ht="15" customHeight="1" s="65">
      <c r="A47" s="99" t="inlineStr">
        <is>
          <t>S2_showcase1</t>
        </is>
      </c>
      <c r="B47" s="99" t="inlineStr">
        <is>
          <t>soaked</t>
        </is>
      </c>
      <c r="C47" s="99" t="n">
        <v>10</v>
      </c>
      <c r="D47" s="106" t="inlineStr">
        <is>
          <t>OK</t>
        </is>
      </c>
      <c r="E47" s="104" t="n">
        <v>10</v>
      </c>
      <c r="F47" s="104" t="n">
        <v>10.953</v>
      </c>
      <c r="G47" s="104" t="n">
        <v>12.958</v>
      </c>
      <c r="H47" s="99" t="n"/>
      <c r="I47" s="104" t="n">
        <v>15.112</v>
      </c>
      <c r="J47" s="104" t="n">
        <v>10</v>
      </c>
      <c r="K47" s="105" t="n">
        <v>1</v>
      </c>
      <c r="L47" s="105" t="n">
        <v>1</v>
      </c>
      <c r="M47" s="105" t="n">
        <v>0.49112</v>
      </c>
      <c r="N47" s="104" t="n">
        <v>10.882</v>
      </c>
      <c r="O47" s="99" t="inlineStr">
        <is>
          <t>cell 10-11 C outside 15-35 C</t>
        </is>
      </c>
    </row>
    <row r="48" ht="15" customHeight="1" s="65">
      <c r="A48" s="99" t="inlineStr">
        <is>
          <t>S2_showcase1</t>
        </is>
      </c>
      <c r="B48" s="99" t="inlineStr">
        <is>
          <t>soaked</t>
        </is>
      </c>
      <c r="C48" s="99" t="n">
        <v>20</v>
      </c>
      <c r="D48" s="107" t="inlineStr">
        <is>
          <t>OPTIMAL</t>
        </is>
      </c>
      <c r="E48" s="104" t="n">
        <v>20</v>
      </c>
      <c r="F48" s="104" t="n">
        <v>20.002</v>
      </c>
      <c r="G48" s="104" t="n">
        <v>22.403</v>
      </c>
      <c r="H48" s="99" t="n"/>
      <c r="I48" s="104" t="n">
        <v>24.03</v>
      </c>
      <c r="J48" s="104" t="n">
        <v>20</v>
      </c>
      <c r="K48" s="105" t="n">
        <v>1</v>
      </c>
      <c r="L48" s="105" t="n">
        <v>1</v>
      </c>
      <c r="M48" s="105" t="n">
        <v>0.49314</v>
      </c>
      <c r="N48" s="104" t="n">
        <v>0.9156</v>
      </c>
      <c r="O48" s="99" t="n"/>
    </row>
    <row r="49" ht="15" customHeight="1" s="65">
      <c r="A49" s="99" t="inlineStr">
        <is>
          <t>S2_showcase1</t>
        </is>
      </c>
      <c r="B49" s="99" t="inlineStr">
        <is>
          <t>soaked</t>
        </is>
      </c>
      <c r="C49" s="99" t="n">
        <v>40</v>
      </c>
      <c r="D49" s="106" t="inlineStr">
        <is>
          <t>OK</t>
        </is>
      </c>
      <c r="E49" s="104" t="n">
        <v>38.077</v>
      </c>
      <c r="F49" s="104" t="n">
        <v>40</v>
      </c>
      <c r="G49" s="104" t="n">
        <v>43.075</v>
      </c>
      <c r="H49" s="99" t="n"/>
      <c r="I49" s="104" t="n">
        <v>45.34</v>
      </c>
      <c r="J49" s="104" t="n">
        <v>62.974</v>
      </c>
      <c r="K49" s="105" t="n">
        <v>1</v>
      </c>
      <c r="L49" s="105" t="n">
        <v>1</v>
      </c>
      <c r="M49" s="105" t="n">
        <v>0.49073</v>
      </c>
      <c r="N49" s="104" t="n">
        <v>12.846</v>
      </c>
      <c r="O49" s="99" t="inlineStr">
        <is>
          <t>cell 38-40 C outside 15-35 C</t>
        </is>
      </c>
    </row>
    <row r="50" ht="15" customHeight="1" s="65">
      <c r="A50" s="99" t="inlineStr">
        <is>
          <t>S2_showcase1</t>
        </is>
      </c>
      <c r="B50" s="99" t="inlineStr">
        <is>
          <t>soaked</t>
        </is>
      </c>
      <c r="C50" s="99" t="n">
        <v>50</v>
      </c>
      <c r="D50" s="103" t="inlineStr">
        <is>
          <t>FAIL</t>
        </is>
      </c>
      <c r="E50" s="104" t="n">
        <v>48.435</v>
      </c>
      <c r="F50" s="104" t="n">
        <v>50</v>
      </c>
      <c r="G50" s="104" t="n">
        <v>53.071</v>
      </c>
      <c r="H50" s="99" t="n"/>
      <c r="I50" s="104" t="n">
        <v>55.332</v>
      </c>
      <c r="J50" s="104" t="n">
        <v>69.39</v>
      </c>
      <c r="K50" s="105" t="n">
        <v>0.00017759</v>
      </c>
      <c r="L50" s="105" t="n">
        <v>1</v>
      </c>
      <c r="M50" s="105" t="n">
        <v>0.49075</v>
      </c>
      <c r="N50" s="104" t="n">
        <v>12.96</v>
      </c>
      <c r="O50" s="99" t="inlineStr">
        <is>
          <t>cell &gt;= BMS L2 hot; condenser loop &gt; 65 C (check valve)</t>
        </is>
      </c>
    </row>
    <row r="51" ht="15" customHeight="1" s="65">
      <c r="A51" s="99" t="inlineStr">
        <is>
          <t>S3_dyncharge_2p5MW</t>
        </is>
      </c>
      <c r="B51" s="99" t="inlineStr">
        <is>
          <t>soaked</t>
        </is>
      </c>
      <c r="C51" s="99" t="n">
        <v>0</v>
      </c>
      <c r="D51" s="103" t="inlineStr">
        <is>
          <t>FAIL</t>
        </is>
      </c>
      <c r="E51" s="104" t="n">
        <v>0</v>
      </c>
      <c r="F51" s="104" t="n">
        <v>8.195</v>
      </c>
      <c r="G51" s="104" t="n">
        <v>7.513</v>
      </c>
      <c r="H51" s="104" t="n">
        <v>7.513</v>
      </c>
      <c r="I51" s="104" t="n">
        <v>9.666499999999999</v>
      </c>
      <c r="J51" s="104" t="n">
        <v>0</v>
      </c>
      <c r="K51" s="105" t="n">
        <v>0</v>
      </c>
      <c r="L51" s="105" t="n">
        <v>0</v>
      </c>
      <c r="M51" s="105" t="n">
        <v>0.49073</v>
      </c>
      <c r="N51" s="104" t="n">
        <v>58.188</v>
      </c>
      <c r="O51" s="99" t="inlineStr">
        <is>
          <t>cell &lt;= BMS L2 cold</t>
        </is>
      </c>
    </row>
    <row r="52" ht="15" customHeight="1" s="65">
      <c r="A52" s="99" t="inlineStr">
        <is>
          <t>S3_dyncharge_2p5MW</t>
        </is>
      </c>
      <c r="B52" s="99" t="inlineStr">
        <is>
          <t>soaked</t>
        </is>
      </c>
      <c r="C52" s="99" t="n">
        <v>10</v>
      </c>
      <c r="D52" s="106" t="inlineStr">
        <is>
          <t>OK</t>
        </is>
      </c>
      <c r="E52" s="104" t="n">
        <v>10</v>
      </c>
      <c r="F52" s="104" t="n">
        <v>16.923</v>
      </c>
      <c r="G52" s="104" t="n">
        <v>17.513</v>
      </c>
      <c r="H52" s="104" t="n">
        <v>17.513</v>
      </c>
      <c r="I52" s="104" t="n">
        <v>19.666</v>
      </c>
      <c r="J52" s="104" t="n">
        <v>10</v>
      </c>
      <c r="K52" s="105" t="n">
        <v>1</v>
      </c>
      <c r="L52" s="105" t="n">
        <v>1</v>
      </c>
      <c r="M52" s="105" t="n">
        <v>0.94911</v>
      </c>
      <c r="N52" s="104" t="n">
        <v>19.384</v>
      </c>
      <c r="O52" s="99" t="inlineStr">
        <is>
          <t>cell 10-17 C outside 15-35 C</t>
        </is>
      </c>
    </row>
    <row r="53" ht="15" customHeight="1" s="65">
      <c r="A53" s="99" t="inlineStr">
        <is>
          <t>S3_dyncharge_2p5MW</t>
        </is>
      </c>
      <c r="B53" s="99" t="inlineStr">
        <is>
          <t>soaked</t>
        </is>
      </c>
      <c r="C53" s="99" t="n">
        <v>20</v>
      </c>
      <c r="D53" s="107" t="inlineStr">
        <is>
          <t>OPTIMAL</t>
        </is>
      </c>
      <c r="E53" s="104" t="n">
        <v>20</v>
      </c>
      <c r="F53" s="104" t="n">
        <v>24.415</v>
      </c>
      <c r="G53" s="104" t="n">
        <v>26.958</v>
      </c>
      <c r="H53" s="104" t="n">
        <v>26.958</v>
      </c>
      <c r="I53" s="104" t="n">
        <v>28.585</v>
      </c>
      <c r="J53" s="104" t="n">
        <v>20</v>
      </c>
      <c r="K53" s="105" t="n">
        <v>1</v>
      </c>
      <c r="L53" s="105" t="n">
        <v>1</v>
      </c>
      <c r="M53" s="105" t="n">
        <v>0.94911</v>
      </c>
      <c r="N53" s="104" t="n">
        <v>4.8878</v>
      </c>
      <c r="O53" s="99" t="n"/>
    </row>
    <row r="54" ht="15" customHeight="1" s="65">
      <c r="A54" s="99" t="inlineStr">
        <is>
          <t>S3_dyncharge_2p5MW</t>
        </is>
      </c>
      <c r="B54" s="99" t="inlineStr">
        <is>
          <t>soaked</t>
        </is>
      </c>
      <c r="C54" s="99" t="n">
        <v>40</v>
      </c>
      <c r="D54" s="106" t="inlineStr">
        <is>
          <t>OK</t>
        </is>
      </c>
      <c r="E54" s="104" t="n">
        <v>31.676</v>
      </c>
      <c r="F54" s="104" t="n">
        <v>40</v>
      </c>
      <c r="G54" s="104" t="n">
        <v>47.648</v>
      </c>
      <c r="H54" s="104" t="n">
        <v>47.648</v>
      </c>
      <c r="I54" s="104" t="n">
        <v>49.93</v>
      </c>
      <c r="J54" s="104" t="n">
        <v>62.974</v>
      </c>
      <c r="K54" s="105" t="n">
        <v>1</v>
      </c>
      <c r="L54" s="105" t="n">
        <v>1</v>
      </c>
      <c r="M54" s="105" t="n">
        <v>0.94863</v>
      </c>
      <c r="N54" s="104" t="n">
        <v>70.81100000000001</v>
      </c>
      <c r="O54" s="99" t="inlineStr">
        <is>
          <t>cell 32-40 C outside 15-35 C</t>
        </is>
      </c>
    </row>
    <row r="55" ht="15" customHeight="1" s="65">
      <c r="A55" s="99" t="inlineStr">
        <is>
          <t>S3_dyncharge_2p5MW</t>
        </is>
      </c>
      <c r="B55" s="99" t="inlineStr">
        <is>
          <t>soaked</t>
        </is>
      </c>
      <c r="C55" s="99" t="n">
        <v>50</v>
      </c>
      <c r="D55" s="103" t="inlineStr">
        <is>
          <t>FAIL</t>
        </is>
      </c>
      <c r="E55" s="104" t="n">
        <v>42.949</v>
      </c>
      <c r="F55" s="104" t="n">
        <v>50</v>
      </c>
      <c r="G55" s="104" t="n">
        <v>57.626</v>
      </c>
      <c r="H55" s="104" t="n">
        <v>57.626</v>
      </c>
      <c r="I55" s="104" t="n">
        <v>59.887</v>
      </c>
      <c r="J55" s="104" t="n">
        <v>69.39</v>
      </c>
      <c r="K55" s="105" t="n">
        <v>0.00060109</v>
      </c>
      <c r="L55" s="105" t="n">
        <v>0.0067515</v>
      </c>
      <c r="M55" s="105" t="n">
        <v>0.88826</v>
      </c>
      <c r="N55" s="104" t="n">
        <v>69.104</v>
      </c>
      <c r="O55" s="99" t="inlineStr">
        <is>
          <t>cell &gt;= BMS L2 hot; charger supply &gt; 55 C; condenser loop &gt; 65 C (check valve)</t>
        </is>
      </c>
    </row>
    <row r="56" ht="15" customHeight="1" s="65">
      <c r="A56" s="99" t="inlineStr">
        <is>
          <t>S4_dyncharge_3p0MW</t>
        </is>
      </c>
      <c r="B56" s="99" t="inlineStr">
        <is>
          <t>soaked</t>
        </is>
      </c>
      <c r="C56" s="99" t="n">
        <v>0</v>
      </c>
      <c r="D56" s="103" t="inlineStr">
        <is>
          <t>FAIL</t>
        </is>
      </c>
      <c r="E56" s="104" t="n">
        <v>0</v>
      </c>
      <c r="F56" s="104" t="n">
        <v>9.474399999999999</v>
      </c>
      <c r="G56" s="104" t="n">
        <v>8.4354</v>
      </c>
      <c r="H56" s="104" t="n">
        <v>8.4354</v>
      </c>
      <c r="I56" s="104" t="n">
        <v>10.589</v>
      </c>
      <c r="J56" s="104" t="n">
        <v>0</v>
      </c>
      <c r="K56" s="105" t="n">
        <v>0</v>
      </c>
      <c r="L56" s="105" t="n">
        <v>0</v>
      </c>
      <c r="M56" s="105" t="n">
        <v>0.57109</v>
      </c>
      <c r="N56" s="104" t="n">
        <v>58.188</v>
      </c>
      <c r="O56" s="99" t="inlineStr">
        <is>
          <t>cell &lt;= BMS L2 cold</t>
        </is>
      </c>
    </row>
    <row r="57" ht="15" customHeight="1" s="65">
      <c r="A57" s="99" t="inlineStr">
        <is>
          <t>S4_dyncharge_3p0MW</t>
        </is>
      </c>
      <c r="B57" s="99" t="inlineStr">
        <is>
          <t>soaked</t>
        </is>
      </c>
      <c r="C57" s="99" t="n">
        <v>10</v>
      </c>
      <c r="D57" s="106" t="inlineStr">
        <is>
          <t>OK</t>
        </is>
      </c>
      <c r="E57" s="104" t="n">
        <v>10</v>
      </c>
      <c r="F57" s="104" t="n">
        <v>17.7</v>
      </c>
      <c r="G57" s="104" t="n">
        <v>18.435</v>
      </c>
      <c r="H57" s="104" t="n">
        <v>18.435</v>
      </c>
      <c r="I57" s="104" t="n">
        <v>20.588</v>
      </c>
      <c r="J57" s="104" t="n">
        <v>10</v>
      </c>
      <c r="K57" s="105" t="n">
        <v>1</v>
      </c>
      <c r="L57" s="105" t="n">
        <v>1</v>
      </c>
      <c r="M57" s="105" t="n">
        <v>0.94921</v>
      </c>
      <c r="N57" s="104" t="n">
        <v>16.584</v>
      </c>
      <c r="O57" s="99" t="inlineStr">
        <is>
          <t>cell 10-18 C outside 15-35 C</t>
        </is>
      </c>
    </row>
    <row r="58" ht="15" customHeight="1" s="65">
      <c r="A58" s="99" t="inlineStr">
        <is>
          <t>S4_dyncharge_3p0MW</t>
        </is>
      </c>
      <c r="B58" s="99" t="inlineStr">
        <is>
          <t>soaked</t>
        </is>
      </c>
      <c r="C58" s="99" t="n">
        <v>20</v>
      </c>
      <c r="D58" s="107" t="inlineStr">
        <is>
          <t>OPTIMAL</t>
        </is>
      </c>
      <c r="E58" s="104" t="n">
        <v>20</v>
      </c>
      <c r="F58" s="104" t="n">
        <v>25.29</v>
      </c>
      <c r="G58" s="104" t="n">
        <v>27.88</v>
      </c>
      <c r="H58" s="104" t="n">
        <v>27.88</v>
      </c>
      <c r="I58" s="104" t="n">
        <v>29.507</v>
      </c>
      <c r="J58" s="104" t="n">
        <v>20</v>
      </c>
      <c r="K58" s="105" t="n">
        <v>1</v>
      </c>
      <c r="L58" s="105" t="n">
        <v>1</v>
      </c>
      <c r="M58" s="105" t="n">
        <v>0.94921</v>
      </c>
      <c r="N58" s="104" t="n">
        <v>4.8878</v>
      </c>
      <c r="O58" s="99" t="n"/>
    </row>
    <row r="59" ht="15" customHeight="1" s="65">
      <c r="A59" s="99" t="inlineStr">
        <is>
          <t>S4_dyncharge_3p0MW</t>
        </is>
      </c>
      <c r="B59" s="99" t="inlineStr">
        <is>
          <t>soaked</t>
        </is>
      </c>
      <c r="C59" s="99" t="n">
        <v>40</v>
      </c>
      <c r="D59" s="106" t="inlineStr">
        <is>
          <t>OK</t>
        </is>
      </c>
      <c r="E59" s="104" t="n">
        <v>32.229</v>
      </c>
      <c r="F59" s="104" t="n">
        <v>40</v>
      </c>
      <c r="G59" s="104" t="n">
        <v>48.571</v>
      </c>
      <c r="H59" s="104" t="n">
        <v>48.571</v>
      </c>
      <c r="I59" s="104" t="n">
        <v>50.853</v>
      </c>
      <c r="J59" s="104" t="n">
        <v>62.974</v>
      </c>
      <c r="K59" s="105" t="n">
        <v>1</v>
      </c>
      <c r="L59" s="105" t="n">
        <v>1</v>
      </c>
      <c r="M59" s="105" t="n">
        <v>0.94878</v>
      </c>
      <c r="N59" s="104" t="n">
        <v>70.64</v>
      </c>
      <c r="O59" s="99" t="inlineStr">
        <is>
          <t>cell 32-40 C outside 15-35 C</t>
        </is>
      </c>
    </row>
    <row r="60" ht="15" customHeight="1" s="65">
      <c r="A60" s="99" t="inlineStr">
        <is>
          <t>S4_dyncharge_3p0MW</t>
        </is>
      </c>
      <c r="B60" s="99" t="inlineStr">
        <is>
          <t>soaked</t>
        </is>
      </c>
      <c r="C60" s="99" t="n">
        <v>50</v>
      </c>
      <c r="D60" s="103" t="inlineStr">
        <is>
          <t>FAIL</t>
        </is>
      </c>
      <c r="E60" s="104" t="n">
        <v>43.485</v>
      </c>
      <c r="F60" s="104" t="n">
        <v>50</v>
      </c>
      <c r="G60" s="104" t="n">
        <v>58.549</v>
      </c>
      <c r="H60" s="104" t="n">
        <v>58.549</v>
      </c>
      <c r="I60" s="104" t="n">
        <v>60.81</v>
      </c>
      <c r="J60" s="104" t="n">
        <v>69.39</v>
      </c>
      <c r="K60" s="105" t="n">
        <v>0.0006173799999999999</v>
      </c>
      <c r="L60" s="105" t="n">
        <v>0.0067513</v>
      </c>
      <c r="M60" s="105" t="n">
        <v>0.9486599999999999</v>
      </c>
      <c r="N60" s="104" t="n">
        <v>69.104</v>
      </c>
      <c r="O60" s="99" t="inlineStr">
        <is>
          <t>cell &gt;= BMS L2 hot; charger supply &gt; 55 C; inverter fluid &gt; 60 C; condenser loop &gt; 65 C (check valve)</t>
        </is>
      </c>
    </row>
    <row r="61" ht="15" customHeight="1" s="65">
      <c r="A61" s="99" t="inlineStr">
        <is>
          <t>S5_cont_pull_10mph</t>
        </is>
      </c>
      <c r="B61" s="99" t="inlineStr">
        <is>
          <t>soaked</t>
        </is>
      </c>
      <c r="C61" s="99" t="n">
        <v>0</v>
      </c>
      <c r="D61" s="103" t="inlineStr">
        <is>
          <t>FAIL</t>
        </is>
      </c>
      <c r="E61" s="104" t="n">
        <v>0</v>
      </c>
      <c r="F61" s="104" t="n">
        <v>2.9732</v>
      </c>
      <c r="G61" s="104" t="n">
        <v>2.6988</v>
      </c>
      <c r="H61" s="99" t="n"/>
      <c r="I61" s="104" t="n">
        <v>4.8523</v>
      </c>
      <c r="J61" s="104" t="n">
        <v>0</v>
      </c>
      <c r="K61" s="105" t="n">
        <v>0</v>
      </c>
      <c r="L61" s="105" t="n">
        <v>1</v>
      </c>
      <c r="M61" s="105" t="n">
        <v>0.87775</v>
      </c>
      <c r="N61" s="104" t="n">
        <v>30.532</v>
      </c>
      <c r="O61" s="99" t="inlineStr">
        <is>
          <t>cell &lt;= BMS L2 cold</t>
        </is>
      </c>
    </row>
    <row r="62" ht="15" customHeight="1" s="65">
      <c r="A62" s="99" t="inlineStr">
        <is>
          <t>S5_cont_pull_10mph</t>
        </is>
      </c>
      <c r="B62" s="99" t="inlineStr">
        <is>
          <t>soaked</t>
        </is>
      </c>
      <c r="C62" s="99" t="n">
        <v>10</v>
      </c>
      <c r="D62" s="106" t="inlineStr">
        <is>
          <t>OK</t>
        </is>
      </c>
      <c r="E62" s="104" t="n">
        <v>10</v>
      </c>
      <c r="F62" s="104" t="n">
        <v>13.796</v>
      </c>
      <c r="G62" s="104" t="n">
        <v>18.231</v>
      </c>
      <c r="H62" s="99" t="n"/>
      <c r="I62" s="104" t="n">
        <v>20.384</v>
      </c>
      <c r="J62" s="104" t="n">
        <v>10</v>
      </c>
      <c r="K62" s="105" t="n">
        <v>1</v>
      </c>
      <c r="L62" s="105" t="n">
        <v>1</v>
      </c>
      <c r="M62" s="105" t="n">
        <v>0.6186199999999999</v>
      </c>
      <c r="N62" s="104" t="n">
        <v>25.823</v>
      </c>
      <c r="O62" s="99" t="inlineStr">
        <is>
          <t>cell 10-14 C outside 15-35 C</t>
        </is>
      </c>
    </row>
    <row r="63" ht="15" customHeight="1" s="65">
      <c r="A63" s="99" t="inlineStr">
        <is>
          <t>S5_cont_pull_10mph</t>
        </is>
      </c>
      <c r="B63" s="99" t="inlineStr">
        <is>
          <t>soaked</t>
        </is>
      </c>
      <c r="C63" s="99" t="n">
        <v>20</v>
      </c>
      <c r="D63" s="107" t="inlineStr">
        <is>
          <t>OPTIMAL</t>
        </is>
      </c>
      <c r="E63" s="104" t="n">
        <v>20</v>
      </c>
      <c r="F63" s="104" t="n">
        <v>20.94</v>
      </c>
      <c r="G63" s="104" t="n">
        <v>27.675</v>
      </c>
      <c r="H63" s="99" t="n"/>
      <c r="I63" s="104" t="n">
        <v>29.302</v>
      </c>
      <c r="J63" s="104" t="n">
        <v>20</v>
      </c>
      <c r="K63" s="105" t="n">
        <v>1</v>
      </c>
      <c r="L63" s="105" t="n">
        <v>1</v>
      </c>
      <c r="M63" s="105" t="n">
        <v>0.62374</v>
      </c>
      <c r="N63" s="104" t="n">
        <v>2.5656</v>
      </c>
      <c r="O63" s="99" t="n"/>
    </row>
    <row r="64" ht="15" customHeight="1" s="65">
      <c r="A64" s="99" t="inlineStr">
        <is>
          <t>S5_cont_pull_10mph</t>
        </is>
      </c>
      <c r="B64" s="99" t="inlineStr">
        <is>
          <t>soaked</t>
        </is>
      </c>
      <c r="C64" s="99" t="n">
        <v>40</v>
      </c>
      <c r="D64" s="106" t="inlineStr">
        <is>
          <t>OK</t>
        </is>
      </c>
      <c r="E64" s="104" t="n">
        <v>34.731</v>
      </c>
      <c r="F64" s="104" t="n">
        <v>40</v>
      </c>
      <c r="G64" s="104" t="n">
        <v>48.366</v>
      </c>
      <c r="H64" s="99" t="n"/>
      <c r="I64" s="104" t="n">
        <v>50.648</v>
      </c>
      <c r="J64" s="104" t="n">
        <v>62.974</v>
      </c>
      <c r="K64" s="105" t="n">
        <v>1</v>
      </c>
      <c r="L64" s="105" t="n">
        <v>1</v>
      </c>
      <c r="M64" s="105" t="n">
        <v>0.61719</v>
      </c>
      <c r="N64" s="104" t="n">
        <v>37.306</v>
      </c>
      <c r="O64" s="99" t="inlineStr">
        <is>
          <t>cell 35-40 C outside 15-35 C</t>
        </is>
      </c>
    </row>
    <row r="65" ht="15" customHeight="1" s="65">
      <c r="A65" s="99" t="inlineStr">
        <is>
          <t>S5_cont_pull_10mph</t>
        </is>
      </c>
      <c r="B65" s="99" t="inlineStr">
        <is>
          <t>soaked</t>
        </is>
      </c>
      <c r="C65" s="99" t="n">
        <v>50</v>
      </c>
      <c r="D65" s="103" t="inlineStr">
        <is>
          <t>FAIL</t>
        </is>
      </c>
      <c r="E65" s="104" t="n">
        <v>45.557</v>
      </c>
      <c r="F65" s="104" t="n">
        <v>50</v>
      </c>
      <c r="G65" s="104" t="n">
        <v>58.529</v>
      </c>
      <c r="H65" s="99" t="n"/>
      <c r="I65" s="104" t="n">
        <v>60.79</v>
      </c>
      <c r="J65" s="104" t="n">
        <v>69.39</v>
      </c>
      <c r="K65" s="105" t="n">
        <v>0.00029842</v>
      </c>
      <c r="L65" s="105" t="n">
        <v>1</v>
      </c>
      <c r="M65" s="105" t="n">
        <v>0.68314</v>
      </c>
      <c r="N65" s="104" t="n">
        <v>36.281</v>
      </c>
      <c r="O65" s="99" t="inlineStr">
        <is>
          <t>cell &gt;= BMS L2 hot; inverter fluid &gt; 60 C; condenser loop &gt; 65 C (check valve)</t>
        </is>
      </c>
    </row>
    <row r="66" ht="15" customHeight="1" s="65">
      <c r="A66" s="99" t="inlineStr">
        <is>
          <t>S6_notch8_15min</t>
        </is>
      </c>
      <c r="B66" s="99" t="inlineStr">
        <is>
          <t>soaked</t>
        </is>
      </c>
      <c r="C66" s="99" t="n">
        <v>0</v>
      </c>
      <c r="D66" s="103" t="inlineStr">
        <is>
          <t>FAIL</t>
        </is>
      </c>
      <c r="E66" s="104" t="n">
        <v>0</v>
      </c>
      <c r="F66" s="104" t="n">
        <v>0.87763</v>
      </c>
      <c r="G66" s="104" t="n">
        <v>2.6924</v>
      </c>
      <c r="H66" s="99" t="n"/>
      <c r="I66" s="104" t="n">
        <v>4.8459</v>
      </c>
      <c r="J66" s="104" t="n">
        <v>0</v>
      </c>
      <c r="K66" s="105" t="n">
        <v>0</v>
      </c>
      <c r="L66" s="105" t="n">
        <v>1</v>
      </c>
      <c r="M66" s="105" t="n">
        <v>0.89295</v>
      </c>
      <c r="N66" s="104" t="n">
        <v>10.155</v>
      </c>
      <c r="O66" s="99" t="inlineStr">
        <is>
          <t>cell &lt;= BMS L2 cold</t>
        </is>
      </c>
    </row>
    <row r="67" ht="15" customHeight="1" s="65">
      <c r="A67" s="99" t="inlineStr">
        <is>
          <t>S6_notch8_15min</t>
        </is>
      </c>
      <c r="B67" s="99" t="inlineStr">
        <is>
          <t>soaked</t>
        </is>
      </c>
      <c r="C67" s="99" t="n">
        <v>10</v>
      </c>
      <c r="D67" s="106" t="inlineStr">
        <is>
          <t>OK</t>
        </is>
      </c>
      <c r="E67" s="104" t="n">
        <v>10</v>
      </c>
      <c r="F67" s="104" t="n">
        <v>11.731</v>
      </c>
      <c r="G67" s="104" t="n">
        <v>19.046</v>
      </c>
      <c r="H67" s="99" t="n"/>
      <c r="I67" s="104" t="n">
        <v>21.2</v>
      </c>
      <c r="J67" s="104" t="n">
        <v>10</v>
      </c>
      <c r="K67" s="105" t="n">
        <v>1</v>
      </c>
      <c r="L67" s="105" t="n">
        <v>1</v>
      </c>
      <c r="M67" s="105" t="n">
        <v>0.78326</v>
      </c>
      <c r="N67" s="104" t="n">
        <v>10.155</v>
      </c>
      <c r="O67" s="99" t="inlineStr">
        <is>
          <t>cell 10-12 C outside 15-35 C</t>
        </is>
      </c>
    </row>
    <row r="68" ht="15" customHeight="1" s="65">
      <c r="A68" s="99" t="inlineStr">
        <is>
          <t>S6_notch8_15min</t>
        </is>
      </c>
      <c r="B68" s="99" t="inlineStr">
        <is>
          <t>soaked</t>
        </is>
      </c>
      <c r="C68" s="99" t="n">
        <v>20</v>
      </c>
      <c r="D68" s="107" t="inlineStr">
        <is>
          <t>OPTIMAL</t>
        </is>
      </c>
      <c r="E68" s="104" t="n">
        <v>20</v>
      </c>
      <c r="F68" s="104" t="n">
        <v>20.667</v>
      </c>
      <c r="G68" s="104" t="n">
        <v>28.52</v>
      </c>
      <c r="H68" s="99" t="n"/>
      <c r="I68" s="104" t="n">
        <v>30.148</v>
      </c>
      <c r="J68" s="104" t="n">
        <v>20</v>
      </c>
      <c r="K68" s="105" t="n">
        <v>1</v>
      </c>
      <c r="L68" s="105" t="n">
        <v>1</v>
      </c>
      <c r="M68" s="105" t="n">
        <v>0.78545</v>
      </c>
      <c r="N68" s="104" t="n">
        <v>0.85449</v>
      </c>
      <c r="O68" s="99" t="n"/>
    </row>
    <row r="69" ht="15" customHeight="1" s="65">
      <c r="A69" s="99" t="inlineStr">
        <is>
          <t>S6_notch8_15min</t>
        </is>
      </c>
      <c r="B69" s="99" t="inlineStr">
        <is>
          <t>soaked</t>
        </is>
      </c>
      <c r="C69" s="99" t="n">
        <v>40</v>
      </c>
      <c r="D69" s="106" t="inlineStr">
        <is>
          <t>OK</t>
        </is>
      </c>
      <c r="E69" s="104" t="n">
        <v>38.679</v>
      </c>
      <c r="F69" s="104" t="n">
        <v>40</v>
      </c>
      <c r="G69" s="104" t="n">
        <v>49.173</v>
      </c>
      <c r="H69" s="99" t="n"/>
      <c r="I69" s="104" t="n">
        <v>51.455</v>
      </c>
      <c r="J69" s="104" t="n">
        <v>62.974</v>
      </c>
      <c r="K69" s="105" t="n">
        <v>1</v>
      </c>
      <c r="L69" s="105" t="n">
        <v>1</v>
      </c>
      <c r="M69" s="105" t="n">
        <v>0.7835</v>
      </c>
      <c r="N69" s="104" t="n">
        <v>12.381</v>
      </c>
      <c r="O69" s="99" t="inlineStr">
        <is>
          <t>cell 39-40 C outside 15-35 C</t>
        </is>
      </c>
    </row>
    <row r="70" ht="15" customHeight="1" s="65">
      <c r="A70" s="99" t="inlineStr">
        <is>
          <t>S6_notch8_15min</t>
        </is>
      </c>
      <c r="B70" s="99" t="inlineStr">
        <is>
          <t>soaked</t>
        </is>
      </c>
      <c r="C70" s="99" t="n">
        <v>50</v>
      </c>
      <c r="D70" s="103" t="inlineStr">
        <is>
          <t>FAIL</t>
        </is>
      </c>
      <c r="E70" s="104" t="n">
        <v>48.576</v>
      </c>
      <c r="F70" s="104" t="n">
        <v>50</v>
      </c>
      <c r="G70" s="104" t="n">
        <v>58.479</v>
      </c>
      <c r="H70" s="99" t="n"/>
      <c r="I70" s="104" t="n">
        <v>60.74</v>
      </c>
      <c r="J70" s="104" t="n">
        <v>69.39</v>
      </c>
      <c r="K70" s="105" t="n">
        <v>0.00016979</v>
      </c>
      <c r="L70" s="105" t="n">
        <v>1</v>
      </c>
      <c r="M70" s="105" t="n">
        <v>0.8738899999999999</v>
      </c>
      <c r="N70" s="104" t="n">
        <v>12.096</v>
      </c>
      <c r="O70" s="99" t="inlineStr">
        <is>
          <t>cell &gt;= BMS L2 hot; inverter fluid &gt; 60 C; condenser loop &gt; 65 C (check valve)</t>
        </is>
      </c>
    </row>
    <row r="71" ht="15" customHeight="1" s="65">
      <c r="A71" s="99" t="inlineStr">
        <is>
          <t>S7_switch_shift_8h</t>
        </is>
      </c>
      <c r="B71" s="99" t="inlineStr">
        <is>
          <t>soaked</t>
        </is>
      </c>
      <c r="C71" s="99" t="n">
        <v>0</v>
      </c>
      <c r="D71" s="103" t="inlineStr">
        <is>
          <t>FAIL</t>
        </is>
      </c>
      <c r="E71" s="104" t="n">
        <v>0</v>
      </c>
      <c r="F71" s="104" t="n">
        <v>13.604</v>
      </c>
      <c r="G71" s="104" t="n">
        <v>3.6973</v>
      </c>
      <c r="H71" s="99" t="n"/>
      <c r="I71" s="104" t="n">
        <v>5.8508</v>
      </c>
      <c r="J71" s="104" t="n">
        <v>0</v>
      </c>
      <c r="K71" s="105" t="n">
        <v>0</v>
      </c>
      <c r="L71" s="105" t="n">
        <v>1</v>
      </c>
      <c r="M71" s="105" t="n">
        <v>0.73183</v>
      </c>
      <c r="N71" s="104" t="n">
        <v>147.41</v>
      </c>
      <c r="O71" s="99" t="inlineStr">
        <is>
          <t>cell &lt;= BMS L2 cold</t>
        </is>
      </c>
    </row>
    <row r="72" ht="15" customHeight="1" s="65">
      <c r="A72" s="99" t="inlineStr">
        <is>
          <t>S7_switch_shift_8h</t>
        </is>
      </c>
      <c r="B72" s="99" t="inlineStr">
        <is>
          <t>soaked</t>
        </is>
      </c>
      <c r="C72" s="99" t="n">
        <v>10</v>
      </c>
      <c r="D72" s="106" t="inlineStr">
        <is>
          <t>OK</t>
        </is>
      </c>
      <c r="E72" s="104" t="n">
        <v>10</v>
      </c>
      <c r="F72" s="104" t="n">
        <v>13.659</v>
      </c>
      <c r="G72" s="104" t="n">
        <v>13.697</v>
      </c>
      <c r="H72" s="99" t="n"/>
      <c r="I72" s="104" t="n">
        <v>15.85</v>
      </c>
      <c r="J72" s="104" t="n">
        <v>10</v>
      </c>
      <c r="K72" s="105" t="n">
        <v>1</v>
      </c>
      <c r="L72" s="105" t="n">
        <v>1</v>
      </c>
      <c r="M72" s="105" t="n">
        <v>0.74248</v>
      </c>
      <c r="N72" s="104" t="n">
        <v>50.29</v>
      </c>
      <c r="O72" s="99" t="inlineStr">
        <is>
          <t>cell 10-14 C outside 15-35 C</t>
        </is>
      </c>
    </row>
    <row r="73" ht="15" customHeight="1" s="65">
      <c r="A73" s="99" t="inlineStr">
        <is>
          <t>S7_switch_shift_8h</t>
        </is>
      </c>
      <c r="B73" s="99" t="inlineStr">
        <is>
          <t>soaked</t>
        </is>
      </c>
      <c r="C73" s="99" t="n">
        <v>20</v>
      </c>
      <c r="D73" s="107" t="inlineStr">
        <is>
          <t>OPTIMAL</t>
        </is>
      </c>
      <c r="E73" s="104" t="n">
        <v>20</v>
      </c>
      <c r="F73" s="104" t="n">
        <v>20.069</v>
      </c>
      <c r="G73" s="104" t="n">
        <v>23.142</v>
      </c>
      <c r="H73" s="99" t="n"/>
      <c r="I73" s="104" t="n">
        <v>24.769</v>
      </c>
      <c r="J73" s="104" t="n">
        <v>20</v>
      </c>
      <c r="K73" s="105" t="n">
        <v>1</v>
      </c>
      <c r="L73" s="105" t="n">
        <v>1</v>
      </c>
      <c r="M73" s="105" t="n">
        <v>0.7490599999999999</v>
      </c>
      <c r="N73" s="104" t="n">
        <v>17.599</v>
      </c>
      <c r="O73" s="99" t="n"/>
    </row>
    <row r="74" ht="15" customHeight="1" s="65">
      <c r="A74" s="99" t="inlineStr">
        <is>
          <t>S7_switch_shift_8h</t>
        </is>
      </c>
      <c r="B74" s="99" t="inlineStr">
        <is>
          <t>soaked</t>
        </is>
      </c>
      <c r="C74" s="99" t="n">
        <v>40</v>
      </c>
      <c r="D74" s="106" t="inlineStr">
        <is>
          <t>OK</t>
        </is>
      </c>
      <c r="E74" s="104" t="n">
        <v>26.229</v>
      </c>
      <c r="F74" s="104" t="n">
        <v>40</v>
      </c>
      <c r="G74" s="104" t="n">
        <v>43.824</v>
      </c>
      <c r="H74" s="99" t="n"/>
      <c r="I74" s="104" t="n">
        <v>46.104</v>
      </c>
      <c r="J74" s="104" t="n">
        <v>62.974</v>
      </c>
      <c r="K74" s="105" t="n">
        <v>1</v>
      </c>
      <c r="L74" s="105" t="n">
        <v>1</v>
      </c>
      <c r="M74" s="105" t="n">
        <v>0.72692</v>
      </c>
      <c r="N74" s="104" t="n">
        <v>128.13</v>
      </c>
      <c r="O74" s="99" t="inlineStr">
        <is>
          <t>cell 26-40 C outside 15-35 C</t>
        </is>
      </c>
    </row>
    <row r="75" ht="15" customHeight="1" s="65">
      <c r="A75" s="99" t="inlineStr">
        <is>
          <t>S7_switch_shift_8h</t>
        </is>
      </c>
      <c r="B75" s="99" t="inlineStr">
        <is>
          <t>soaked</t>
        </is>
      </c>
      <c r="C75" s="99" t="n">
        <v>50</v>
      </c>
      <c r="D75" s="103" t="inlineStr">
        <is>
          <t>FAIL</t>
        </is>
      </c>
      <c r="E75" s="104" t="n">
        <v>26.34</v>
      </c>
      <c r="F75" s="104" t="n">
        <v>50</v>
      </c>
      <c r="G75" s="104" t="n">
        <v>53.81</v>
      </c>
      <c r="H75" s="99" t="n"/>
      <c r="I75" s="104" t="n">
        <v>56.071</v>
      </c>
      <c r="J75" s="104" t="n">
        <v>69.39</v>
      </c>
      <c r="K75" s="105" t="n">
        <v>0.096973</v>
      </c>
      <c r="L75" s="105" t="n">
        <v>1</v>
      </c>
      <c r="M75" s="105" t="n">
        <v>0.71229</v>
      </c>
      <c r="N75" s="104" t="n">
        <v>201.11</v>
      </c>
      <c r="O75" s="99" t="inlineStr">
        <is>
          <t>cell &gt;= BMS L2 hot; condenser loop &gt; 65 C (check valve)</t>
        </is>
      </c>
    </row>
    <row r="76" ht="15" customHeight="1" s="65">
      <c r="A76" s="99" t="inlineStr">
        <is>
          <t>S8_park_6h</t>
        </is>
      </c>
      <c r="B76" s="99" t="inlineStr">
        <is>
          <t>soaked</t>
        </is>
      </c>
      <c r="C76" s="99" t="n">
        <v>0</v>
      </c>
      <c r="D76" s="106" t="inlineStr">
        <is>
          <t>OK</t>
        </is>
      </c>
      <c r="E76" s="104" t="n">
        <v>0</v>
      </c>
      <c r="F76" s="104" t="n">
        <v>13.605</v>
      </c>
      <c r="G76" s="104" t="n">
        <v>1.2541</v>
      </c>
      <c r="H76" s="99" t="n"/>
      <c r="I76" s="104" t="n">
        <v>2.048</v>
      </c>
      <c r="J76" s="104" t="n">
        <v>0</v>
      </c>
      <c r="K76" s="105" t="n">
        <v>1</v>
      </c>
      <c r="L76" s="105" t="n">
        <v>1</v>
      </c>
      <c r="M76" s="105" t="n">
        <v>0.55893</v>
      </c>
      <c r="N76" s="104" t="n">
        <v>143.74</v>
      </c>
      <c r="O76" s="99" t="inlineStr">
        <is>
          <t>cell 0-14 C outside 15-35 C</t>
        </is>
      </c>
    </row>
    <row r="77" ht="15" customHeight="1" s="65">
      <c r="A77" s="99" t="inlineStr">
        <is>
          <t>S8_park_6h</t>
        </is>
      </c>
      <c r="B77" s="99" t="inlineStr">
        <is>
          <t>soaked</t>
        </is>
      </c>
      <c r="C77" s="99" t="n">
        <v>10</v>
      </c>
      <c r="D77" s="106" t="inlineStr">
        <is>
          <t>OK</t>
        </is>
      </c>
      <c r="E77" s="104" t="n">
        <v>10</v>
      </c>
      <c r="F77" s="104" t="n">
        <v>13.66</v>
      </c>
      <c r="G77" s="104" t="n">
        <v>11.254</v>
      </c>
      <c r="H77" s="99" t="n"/>
      <c r="I77" s="104" t="n">
        <v>12.048</v>
      </c>
      <c r="J77" s="104" t="n">
        <v>10</v>
      </c>
      <c r="K77" s="105" t="n">
        <v>1</v>
      </c>
      <c r="L77" s="105" t="n">
        <v>1</v>
      </c>
      <c r="M77" s="105" t="n">
        <v>0.57862</v>
      </c>
      <c r="N77" s="104" t="n">
        <v>46.088</v>
      </c>
      <c r="O77" s="99" t="inlineStr">
        <is>
          <t>cell 10-14 C outside 15-35 C</t>
        </is>
      </c>
    </row>
    <row r="78" ht="15" customHeight="1" s="65">
      <c r="A78" s="99" t="inlineStr">
        <is>
          <t>S8_park_6h</t>
        </is>
      </c>
      <c r="B78" s="99" t="inlineStr">
        <is>
          <t>soaked</t>
        </is>
      </c>
      <c r="C78" s="99" t="n">
        <v>20</v>
      </c>
      <c r="D78" s="107" t="inlineStr">
        <is>
          <t>OPTIMAL</t>
        </is>
      </c>
      <c r="E78" s="104" t="n">
        <v>20</v>
      </c>
      <c r="F78" s="104" t="n">
        <v>20</v>
      </c>
      <c r="G78" s="104" t="n">
        <v>20.699</v>
      </c>
      <c r="H78" s="99" t="n"/>
      <c r="I78" s="104" t="n">
        <v>20.966</v>
      </c>
      <c r="J78" s="104" t="n">
        <v>20</v>
      </c>
      <c r="K78" s="105" t="n">
        <v>1</v>
      </c>
      <c r="L78" s="105" t="n">
        <v>1</v>
      </c>
      <c r="M78" s="105" t="n">
        <v>0.58525</v>
      </c>
      <c r="N78" s="104" t="n">
        <v>13.199</v>
      </c>
      <c r="O78" s="99" t="n"/>
    </row>
    <row r="79" ht="15" customHeight="1" s="65">
      <c r="A79" s="99" t="inlineStr">
        <is>
          <t>S8_park_6h</t>
        </is>
      </c>
      <c r="B79" s="99" t="inlineStr">
        <is>
          <t>soaked</t>
        </is>
      </c>
      <c r="C79" s="99" t="n">
        <v>40</v>
      </c>
      <c r="D79" s="106" t="inlineStr">
        <is>
          <t>OK</t>
        </is>
      </c>
      <c r="E79" s="104" t="n">
        <v>26.225</v>
      </c>
      <c r="F79" s="104" t="n">
        <v>40</v>
      </c>
      <c r="G79" s="104" t="n">
        <v>41.336</v>
      </c>
      <c r="H79" s="99" t="n"/>
      <c r="I79" s="104" t="n">
        <v>42.208</v>
      </c>
      <c r="J79" s="104" t="n">
        <v>62.974</v>
      </c>
      <c r="K79" s="105" t="n">
        <v>1</v>
      </c>
      <c r="L79" s="105" t="n">
        <v>1</v>
      </c>
      <c r="M79" s="105" t="n">
        <v>0.5683</v>
      </c>
      <c r="N79" s="104" t="n">
        <v>97.31399999999999</v>
      </c>
      <c r="O79" s="99" t="inlineStr">
        <is>
          <t>cell 26-40 C outside 15-35 C</t>
        </is>
      </c>
    </row>
    <row r="80" ht="15" customHeight="1" s="65">
      <c r="A80" s="99" t="inlineStr">
        <is>
          <t>S8_park_6h</t>
        </is>
      </c>
      <c r="B80" s="99" t="inlineStr">
        <is>
          <t>soaked</t>
        </is>
      </c>
      <c r="C80" s="99" t="n">
        <v>50</v>
      </c>
      <c r="D80" s="103" t="inlineStr">
        <is>
          <t>FAIL</t>
        </is>
      </c>
      <c r="E80" s="104" t="n">
        <v>26.338</v>
      </c>
      <c r="F80" s="104" t="n">
        <v>50</v>
      </c>
      <c r="G80" s="104" t="n">
        <v>51.367</v>
      </c>
      <c r="H80" s="99" t="n"/>
      <c r="I80" s="104" t="n">
        <v>52.269</v>
      </c>
      <c r="J80" s="104" t="n">
        <v>69.39</v>
      </c>
      <c r="K80" s="105" t="n">
        <v>1</v>
      </c>
      <c r="L80" s="105" t="n">
        <v>1</v>
      </c>
      <c r="M80" s="105" t="n">
        <v>0.55085</v>
      </c>
      <c r="N80" s="104" t="n">
        <v>183.83</v>
      </c>
      <c r="O80" s="99" t="inlineStr">
        <is>
          <t>cell &gt;= BMS L2 hot; condenser loop &gt; 65 C (check valve)</t>
        </is>
      </c>
    </row>
    <row r="81" ht="15" customHeight="1" s="65">
      <c r="A81" s="99" t="inlineStr">
        <is>
          <t>S1_first_move</t>
        </is>
      </c>
      <c r="B81" s="99" t="inlineStr">
        <is>
          <t>precond</t>
        </is>
      </c>
      <c r="C81" s="99" t="n">
        <v>0</v>
      </c>
      <c r="D81" s="107" t="inlineStr">
        <is>
          <t>OPTIMAL</t>
        </is>
      </c>
      <c r="E81" s="104" t="n">
        <v>24.903</v>
      </c>
      <c r="F81" s="104" t="n">
        <v>25</v>
      </c>
      <c r="G81" s="104" t="n">
        <v>1.8277</v>
      </c>
      <c r="H81" s="99" t="n"/>
      <c r="I81" s="104" t="n">
        <v>3.4319</v>
      </c>
      <c r="J81" s="104" t="n">
        <v>0</v>
      </c>
      <c r="K81" s="105" t="n">
        <v>1</v>
      </c>
      <c r="L81" s="105" t="n">
        <v>1</v>
      </c>
      <c r="M81" s="105" t="n">
        <v>0.49855</v>
      </c>
      <c r="N81" s="104" t="n">
        <v>0.24337</v>
      </c>
      <c r="O81" s="99" t="n"/>
    </row>
    <row r="82" ht="15" customHeight="1" s="65">
      <c r="A82" s="99" t="inlineStr">
        <is>
          <t>S1_first_move</t>
        </is>
      </c>
      <c r="B82" s="99" t="inlineStr">
        <is>
          <t>precond</t>
        </is>
      </c>
      <c r="C82" s="99" t="n">
        <v>10</v>
      </c>
      <c r="D82" s="107" t="inlineStr">
        <is>
          <t>OPTIMAL</t>
        </is>
      </c>
      <c r="E82" s="104" t="n">
        <v>24.942</v>
      </c>
      <c r="F82" s="104" t="n">
        <v>25</v>
      </c>
      <c r="G82" s="104" t="n">
        <v>11.828</v>
      </c>
      <c r="H82" s="99" t="n"/>
      <c r="I82" s="104" t="n">
        <v>13.432</v>
      </c>
      <c r="J82" s="104" t="n">
        <v>10</v>
      </c>
      <c r="K82" s="105" t="n">
        <v>1</v>
      </c>
      <c r="L82" s="105" t="n">
        <v>1</v>
      </c>
      <c r="M82" s="105" t="n">
        <v>0.49855</v>
      </c>
      <c r="N82" s="104" t="n">
        <v>0.24337</v>
      </c>
      <c r="O82" s="99" t="n"/>
    </row>
    <row r="83" ht="15" customHeight="1" s="65">
      <c r="A83" s="99" t="inlineStr">
        <is>
          <t>S1_first_move</t>
        </is>
      </c>
      <c r="B83" s="99" t="inlineStr">
        <is>
          <t>precond</t>
        </is>
      </c>
      <c r="C83" s="99" t="n">
        <v>20</v>
      </c>
      <c r="D83" s="107" t="inlineStr">
        <is>
          <t>OPTIMAL</t>
        </is>
      </c>
      <c r="E83" s="104" t="n">
        <v>24.981</v>
      </c>
      <c r="F83" s="104" t="n">
        <v>25</v>
      </c>
      <c r="G83" s="104" t="n">
        <v>21.828</v>
      </c>
      <c r="H83" s="99" t="n"/>
      <c r="I83" s="104" t="n">
        <v>23.432</v>
      </c>
      <c r="J83" s="104" t="n">
        <v>20</v>
      </c>
      <c r="K83" s="105" t="n">
        <v>1</v>
      </c>
      <c r="L83" s="105" t="n">
        <v>1</v>
      </c>
      <c r="M83" s="105" t="n">
        <v>0.49855</v>
      </c>
      <c r="N83" s="104" t="n">
        <v>0.24337</v>
      </c>
      <c r="O83" s="99" t="n"/>
    </row>
    <row r="84" ht="15" customHeight="1" s="65">
      <c r="A84" s="99" t="inlineStr">
        <is>
          <t>S1_first_move</t>
        </is>
      </c>
      <c r="B84" s="99" t="inlineStr">
        <is>
          <t>precond</t>
        </is>
      </c>
      <c r="C84" s="99" t="n">
        <v>40</v>
      </c>
      <c r="D84" s="107" t="inlineStr">
        <is>
          <t>OPTIMAL</t>
        </is>
      </c>
      <c r="E84" s="104" t="n">
        <v>25</v>
      </c>
      <c r="F84" s="104" t="n">
        <v>25.059</v>
      </c>
      <c r="G84" s="104" t="n">
        <v>41.909</v>
      </c>
      <c r="H84" s="99" t="n"/>
      <c r="I84" s="104" t="n">
        <v>43.608</v>
      </c>
      <c r="J84" s="104" t="n">
        <v>40</v>
      </c>
      <c r="K84" s="105" t="n">
        <v>1</v>
      </c>
      <c r="L84" s="105" t="n">
        <v>1</v>
      </c>
      <c r="M84" s="105" t="n">
        <v>0.49847</v>
      </c>
      <c r="N84" s="104" t="n">
        <v>0.68064</v>
      </c>
      <c r="O84" s="99" t="n"/>
    </row>
    <row r="85" ht="15" customHeight="1" s="65">
      <c r="A85" s="99" t="inlineStr">
        <is>
          <t>S1_first_move</t>
        </is>
      </c>
      <c r="B85" s="99" t="inlineStr">
        <is>
          <t>precond</t>
        </is>
      </c>
      <c r="C85" s="99" t="n">
        <v>50</v>
      </c>
      <c r="D85" s="107" t="inlineStr">
        <is>
          <t>OPTIMAL</t>
        </is>
      </c>
      <c r="E85" s="104" t="n">
        <v>25</v>
      </c>
      <c r="F85" s="104" t="n">
        <v>25.098</v>
      </c>
      <c r="G85" s="104" t="n">
        <v>51.953</v>
      </c>
      <c r="H85" s="99" t="n"/>
      <c r="I85" s="104" t="n">
        <v>53.692</v>
      </c>
      <c r="J85" s="104" t="n">
        <v>50</v>
      </c>
      <c r="K85" s="105" t="n">
        <v>1</v>
      </c>
      <c r="L85" s="105" t="n">
        <v>1</v>
      </c>
      <c r="M85" s="105" t="n">
        <v>0.49841</v>
      </c>
      <c r="N85" s="104" t="n">
        <v>0.94031</v>
      </c>
      <c r="O85" s="99" t="n"/>
    </row>
    <row r="86" ht="15" customHeight="1" s="65">
      <c r="A86" s="99" t="inlineStr">
        <is>
          <t>S2_showcase1</t>
        </is>
      </c>
      <c r="B86" s="99" t="inlineStr">
        <is>
          <t>precond</t>
        </is>
      </c>
      <c r="C86" s="99" t="n">
        <v>0</v>
      </c>
      <c r="D86" s="107" t="inlineStr">
        <is>
          <t>OPTIMAL</t>
        </is>
      </c>
      <c r="E86" s="104" t="n">
        <v>24.643</v>
      </c>
      <c r="F86" s="104" t="n">
        <v>25</v>
      </c>
      <c r="G86" s="104" t="n">
        <v>2.4029</v>
      </c>
      <c r="H86" s="99" t="n"/>
      <c r="I86" s="104" t="n">
        <v>4.0301</v>
      </c>
      <c r="J86" s="104" t="n">
        <v>0</v>
      </c>
      <c r="K86" s="105" t="n">
        <v>1</v>
      </c>
      <c r="L86" s="105" t="n">
        <v>1</v>
      </c>
      <c r="M86" s="105" t="n">
        <v>0.49314</v>
      </c>
      <c r="N86" s="104" t="n">
        <v>0.9156</v>
      </c>
      <c r="O86" s="99" t="n"/>
    </row>
    <row r="87" ht="15" customHeight="1" s="65">
      <c r="A87" s="99" t="inlineStr">
        <is>
          <t>S2_showcase1</t>
        </is>
      </c>
      <c r="B87" s="99" t="inlineStr">
        <is>
          <t>precond</t>
        </is>
      </c>
      <c r="C87" s="99" t="n">
        <v>10</v>
      </c>
      <c r="D87" s="107" t="inlineStr">
        <is>
          <t>OPTIMAL</t>
        </is>
      </c>
      <c r="E87" s="104" t="n">
        <v>24.786</v>
      </c>
      <c r="F87" s="104" t="n">
        <v>25</v>
      </c>
      <c r="G87" s="104" t="n">
        <v>12.403</v>
      </c>
      <c r="H87" s="99" t="n"/>
      <c r="I87" s="104" t="n">
        <v>14.03</v>
      </c>
      <c r="J87" s="104" t="n">
        <v>10</v>
      </c>
      <c r="K87" s="105" t="n">
        <v>1</v>
      </c>
      <c r="L87" s="105" t="n">
        <v>1</v>
      </c>
      <c r="M87" s="105" t="n">
        <v>0.49314</v>
      </c>
      <c r="N87" s="104" t="n">
        <v>0.9156</v>
      </c>
      <c r="O87" s="99" t="n"/>
    </row>
    <row r="88" ht="15" customHeight="1" s="65">
      <c r="A88" s="99" t="inlineStr">
        <is>
          <t>S2_showcase1</t>
        </is>
      </c>
      <c r="B88" s="99" t="inlineStr">
        <is>
          <t>precond</t>
        </is>
      </c>
      <c r="C88" s="99" t="n">
        <v>20</v>
      </c>
      <c r="D88" s="107" t="inlineStr">
        <is>
          <t>OPTIMAL</t>
        </is>
      </c>
      <c r="E88" s="104" t="n">
        <v>24.93</v>
      </c>
      <c r="F88" s="104" t="n">
        <v>25</v>
      </c>
      <c r="G88" s="104" t="n">
        <v>22.403</v>
      </c>
      <c r="H88" s="99" t="n"/>
      <c r="I88" s="104" t="n">
        <v>24.03</v>
      </c>
      <c r="J88" s="104" t="n">
        <v>20</v>
      </c>
      <c r="K88" s="105" t="n">
        <v>1</v>
      </c>
      <c r="L88" s="105" t="n">
        <v>1</v>
      </c>
      <c r="M88" s="105" t="n">
        <v>0.49314</v>
      </c>
      <c r="N88" s="104" t="n">
        <v>0.9156</v>
      </c>
      <c r="O88" s="99" t="n"/>
    </row>
    <row r="89" ht="15" customHeight="1" s="65">
      <c r="A89" s="99" t="inlineStr">
        <is>
          <t>S2_showcase1</t>
        </is>
      </c>
      <c r="B89" s="99" t="inlineStr">
        <is>
          <t>precond</t>
        </is>
      </c>
      <c r="C89" s="99" t="n">
        <v>40</v>
      </c>
      <c r="D89" s="107" t="inlineStr">
        <is>
          <t>OPTIMAL</t>
        </is>
      </c>
      <c r="E89" s="104" t="n">
        <v>25</v>
      </c>
      <c r="F89" s="104" t="n">
        <v>25.217</v>
      </c>
      <c r="G89" s="104" t="n">
        <v>42.518</v>
      </c>
      <c r="H89" s="99" t="n"/>
      <c r="I89" s="104" t="n">
        <v>44.256</v>
      </c>
      <c r="J89" s="104" t="n">
        <v>40</v>
      </c>
      <c r="K89" s="105" t="n">
        <v>1</v>
      </c>
      <c r="L89" s="105" t="n">
        <v>1</v>
      </c>
      <c r="M89" s="105" t="n">
        <v>0.49274</v>
      </c>
      <c r="N89" s="104" t="n">
        <v>2.8722</v>
      </c>
      <c r="O89" s="99" t="n"/>
    </row>
    <row r="90" ht="15" customHeight="1" s="65">
      <c r="A90" s="99" t="inlineStr">
        <is>
          <t>S2_showcase1</t>
        </is>
      </c>
      <c r="B90" s="99" t="inlineStr">
        <is>
          <t>precond</t>
        </is>
      </c>
      <c r="C90" s="99" t="n">
        <v>50</v>
      </c>
      <c r="D90" s="107" t="inlineStr">
        <is>
          <t>OPTIMAL</t>
        </is>
      </c>
      <c r="E90" s="104" t="n">
        <v>25</v>
      </c>
      <c r="F90" s="104" t="n">
        <v>25.36</v>
      </c>
      <c r="G90" s="104" t="n">
        <v>52.549</v>
      </c>
      <c r="H90" s="99" t="n"/>
      <c r="I90" s="104" t="n">
        <v>54.314</v>
      </c>
      <c r="J90" s="104" t="n">
        <v>50</v>
      </c>
      <c r="K90" s="105" t="n">
        <v>1</v>
      </c>
      <c r="L90" s="105" t="n">
        <v>1</v>
      </c>
      <c r="M90" s="105" t="n">
        <v>0.49261</v>
      </c>
      <c r="N90" s="104" t="n">
        <v>3.5375</v>
      </c>
      <c r="O90" s="99" t="n"/>
    </row>
    <row r="91" ht="15" customHeight="1" s="65">
      <c r="A91" s="99" t="inlineStr">
        <is>
          <t>S3_dyncharge_2p5MW</t>
        </is>
      </c>
      <c r="B91" s="99" t="inlineStr">
        <is>
          <t>precond</t>
        </is>
      </c>
      <c r="C91" s="99" t="n">
        <v>0</v>
      </c>
      <c r="D91" s="107" t="inlineStr">
        <is>
          <t>OPTIMAL</t>
        </is>
      </c>
      <c r="E91" s="104" t="n">
        <v>24.967</v>
      </c>
      <c r="F91" s="104" t="n">
        <v>27.657</v>
      </c>
      <c r="G91" s="104" t="n">
        <v>6.9577</v>
      </c>
      <c r="H91" s="104" t="n">
        <v>6.9577</v>
      </c>
      <c r="I91" s="104" t="n">
        <v>8.584899999999999</v>
      </c>
      <c r="J91" s="104" t="n">
        <v>0</v>
      </c>
      <c r="K91" s="105" t="n">
        <v>1</v>
      </c>
      <c r="L91" s="105" t="n">
        <v>1</v>
      </c>
      <c r="M91" s="105" t="n">
        <v>0.94911</v>
      </c>
      <c r="N91" s="104" t="n">
        <v>4.8878</v>
      </c>
      <c r="O91" s="99" t="n"/>
    </row>
    <row r="92" ht="15" customHeight="1" s="65">
      <c r="A92" s="99" t="inlineStr">
        <is>
          <t>S3_dyncharge_2p5MW</t>
        </is>
      </c>
      <c r="B92" s="99" t="inlineStr">
        <is>
          <t>precond</t>
        </is>
      </c>
      <c r="C92" s="99" t="n">
        <v>10</v>
      </c>
      <c r="D92" s="107" t="inlineStr">
        <is>
          <t>OPTIMAL</t>
        </is>
      </c>
      <c r="E92" s="104" t="n">
        <v>24.981</v>
      </c>
      <c r="F92" s="104" t="n">
        <v>28.02</v>
      </c>
      <c r="G92" s="104" t="n">
        <v>17.356</v>
      </c>
      <c r="H92" s="104" t="n">
        <v>17.307</v>
      </c>
      <c r="I92" s="104" t="n">
        <v>19.441</v>
      </c>
      <c r="J92" s="104" t="n">
        <v>36.303</v>
      </c>
      <c r="K92" s="105" t="n">
        <v>1</v>
      </c>
      <c r="L92" s="105" t="n">
        <v>1</v>
      </c>
      <c r="M92" s="105" t="n">
        <v>0.94911</v>
      </c>
      <c r="N92" s="104" t="n">
        <v>11.093</v>
      </c>
      <c r="O92" s="99" t="n"/>
    </row>
    <row r="93" ht="15" customHeight="1" s="65">
      <c r="A93" s="99" t="inlineStr">
        <is>
          <t>S3_dyncharge_2p5MW</t>
        </is>
      </c>
      <c r="B93" s="99" t="inlineStr">
        <is>
          <t>precond</t>
        </is>
      </c>
      <c r="C93" s="99" t="n">
        <v>20</v>
      </c>
      <c r="D93" s="107" t="inlineStr">
        <is>
          <t>OPTIMAL</t>
        </is>
      </c>
      <c r="E93" s="104" t="n">
        <v>24.994</v>
      </c>
      <c r="F93" s="104" t="n">
        <v>28.029</v>
      </c>
      <c r="G93" s="104" t="n">
        <v>27.485</v>
      </c>
      <c r="H93" s="104" t="n">
        <v>27.484</v>
      </c>
      <c r="I93" s="104" t="n">
        <v>29.612</v>
      </c>
      <c r="J93" s="104" t="n">
        <v>46.978</v>
      </c>
      <c r="K93" s="105" t="n">
        <v>1</v>
      </c>
      <c r="L93" s="105" t="n">
        <v>1</v>
      </c>
      <c r="M93" s="105" t="n">
        <v>0.94911</v>
      </c>
      <c r="N93" s="104" t="n">
        <v>13.777</v>
      </c>
      <c r="O93" s="99" t="n"/>
    </row>
    <row r="94" ht="15" customHeight="1" s="65">
      <c r="A94" s="99" t="inlineStr">
        <is>
          <t>S3_dyncharge_2p5MW</t>
        </is>
      </c>
      <c r="B94" s="99" t="inlineStr">
        <is>
          <t>precond</t>
        </is>
      </c>
      <c r="C94" s="99" t="n">
        <v>40</v>
      </c>
      <c r="D94" s="106" t="inlineStr">
        <is>
          <t>OK</t>
        </is>
      </c>
      <c r="E94" s="104" t="n">
        <v>25</v>
      </c>
      <c r="F94" s="104" t="n">
        <v>28.058</v>
      </c>
      <c r="G94" s="104" t="n">
        <v>47.648</v>
      </c>
      <c r="H94" s="104" t="n">
        <v>47.648</v>
      </c>
      <c r="I94" s="104" t="n">
        <v>49.93</v>
      </c>
      <c r="J94" s="104" t="n">
        <v>62.974</v>
      </c>
      <c r="K94" s="105" t="n">
        <v>1</v>
      </c>
      <c r="L94" s="105" t="n">
        <v>1</v>
      </c>
      <c r="M94" s="105" t="n">
        <v>0.94903</v>
      </c>
      <c r="N94" s="104" t="n">
        <v>34.053</v>
      </c>
      <c r="O94" s="99" t="inlineStr">
        <is>
          <t>PE margin 2.0 K</t>
        </is>
      </c>
    </row>
    <row r="95" ht="15" customHeight="1" s="65">
      <c r="A95" s="99" t="inlineStr">
        <is>
          <t>S3_dyncharge_2p5MW</t>
        </is>
      </c>
      <c r="B95" s="99" t="inlineStr">
        <is>
          <t>precond</t>
        </is>
      </c>
      <c r="C95" s="99" t="n">
        <v>50</v>
      </c>
      <c r="D95" s="103" t="inlineStr">
        <is>
          <t>FAIL</t>
        </is>
      </c>
      <c r="E95" s="104" t="n">
        <v>25</v>
      </c>
      <c r="F95" s="104" t="n">
        <v>28.099</v>
      </c>
      <c r="G95" s="104" t="n">
        <v>57.626</v>
      </c>
      <c r="H95" s="104" t="n">
        <v>57.626</v>
      </c>
      <c r="I95" s="104" t="n">
        <v>59.887</v>
      </c>
      <c r="J95" s="104" t="n">
        <v>69.39</v>
      </c>
      <c r="K95" s="105" t="n">
        <v>1</v>
      </c>
      <c r="L95" s="105" t="n">
        <v>1</v>
      </c>
      <c r="M95" s="105" t="n">
        <v>0.949</v>
      </c>
      <c r="N95" s="104" t="n">
        <v>40.826</v>
      </c>
      <c r="O95" s="99" t="inlineStr">
        <is>
          <t>charger supply &gt; 55 C; condenser loop &gt; 65 C (check valve)</t>
        </is>
      </c>
    </row>
    <row r="96" ht="15" customHeight="1" s="65">
      <c r="A96" s="99" t="inlineStr">
        <is>
          <t>S4_dyncharge_3p0MW</t>
        </is>
      </c>
      <c r="B96" s="99" t="inlineStr">
        <is>
          <t>precond</t>
        </is>
      </c>
      <c r="C96" s="99" t="n">
        <v>0</v>
      </c>
      <c r="D96" s="107" t="inlineStr">
        <is>
          <t>OPTIMAL</t>
        </is>
      </c>
      <c r="E96" s="104" t="n">
        <v>24.968</v>
      </c>
      <c r="F96" s="104" t="n">
        <v>28.042</v>
      </c>
      <c r="G96" s="104" t="n">
        <v>8.3269</v>
      </c>
      <c r="H96" s="104" t="n">
        <v>8.325699999999999</v>
      </c>
      <c r="I96" s="104" t="n">
        <v>10.38</v>
      </c>
      <c r="J96" s="104" t="n">
        <v>25.776</v>
      </c>
      <c r="K96" s="105" t="n">
        <v>1</v>
      </c>
      <c r="L96" s="105" t="n">
        <v>1</v>
      </c>
      <c r="M96" s="105" t="n">
        <v>0.94921</v>
      </c>
      <c r="N96" s="104" t="n">
        <v>12.134</v>
      </c>
      <c r="O96" s="99" t="n"/>
    </row>
    <row r="97" ht="15" customHeight="1" s="65">
      <c r="A97" s="99" t="inlineStr">
        <is>
          <t>S4_dyncharge_3p0MW</t>
        </is>
      </c>
      <c r="B97" s="99" t="inlineStr">
        <is>
          <t>precond</t>
        </is>
      </c>
      <c r="C97" s="99" t="n">
        <v>10</v>
      </c>
      <c r="D97" s="107" t="inlineStr">
        <is>
          <t>OPTIMAL</t>
        </is>
      </c>
      <c r="E97" s="104" t="n">
        <v>24.981</v>
      </c>
      <c r="F97" s="104" t="n">
        <v>28.055</v>
      </c>
      <c r="G97" s="104" t="n">
        <v>18.364</v>
      </c>
      <c r="H97" s="104" t="n">
        <v>18.364</v>
      </c>
      <c r="I97" s="104" t="n">
        <v>20.449</v>
      </c>
      <c r="J97" s="104" t="n">
        <v>36.303</v>
      </c>
      <c r="K97" s="105" t="n">
        <v>1</v>
      </c>
      <c r="L97" s="105" t="n">
        <v>1</v>
      </c>
      <c r="M97" s="105" t="n">
        <v>0.94921</v>
      </c>
      <c r="N97" s="104" t="n">
        <v>14.261</v>
      </c>
      <c r="O97" s="99" t="n"/>
    </row>
    <row r="98" ht="15" customHeight="1" s="65">
      <c r="A98" s="99" t="inlineStr">
        <is>
          <t>S4_dyncharge_3p0MW</t>
        </is>
      </c>
      <c r="B98" s="99" t="inlineStr">
        <is>
          <t>precond</t>
        </is>
      </c>
      <c r="C98" s="99" t="n">
        <v>20</v>
      </c>
      <c r="D98" s="107" t="inlineStr">
        <is>
          <t>OPTIMAL</t>
        </is>
      </c>
      <c r="E98" s="104" t="n">
        <v>24.994</v>
      </c>
      <c r="F98" s="104" t="n">
        <v>28.07</v>
      </c>
      <c r="G98" s="104" t="n">
        <v>28.408</v>
      </c>
      <c r="H98" s="104" t="n">
        <v>28.408</v>
      </c>
      <c r="I98" s="104" t="n">
        <v>30.535</v>
      </c>
      <c r="J98" s="104" t="n">
        <v>46.978</v>
      </c>
      <c r="K98" s="105" t="n">
        <v>1</v>
      </c>
      <c r="L98" s="105" t="n">
        <v>1</v>
      </c>
      <c r="M98" s="105" t="n">
        <v>0.94921</v>
      </c>
      <c r="N98" s="104" t="n">
        <v>16.703</v>
      </c>
      <c r="O98" s="99" t="n"/>
    </row>
    <row r="99" ht="15" customHeight="1" s="65">
      <c r="A99" s="99" t="inlineStr">
        <is>
          <t>S4_dyncharge_3p0MW</t>
        </is>
      </c>
      <c r="B99" s="99" t="inlineStr">
        <is>
          <t>precond</t>
        </is>
      </c>
      <c r="C99" s="99" t="n">
        <v>40</v>
      </c>
      <c r="D99" s="106" t="inlineStr">
        <is>
          <t>OK</t>
        </is>
      </c>
      <c r="E99" s="104" t="n">
        <v>25</v>
      </c>
      <c r="F99" s="104" t="n">
        <v>28.128</v>
      </c>
      <c r="G99" s="104" t="n">
        <v>48.571</v>
      </c>
      <c r="H99" s="104" t="n">
        <v>48.571</v>
      </c>
      <c r="I99" s="104" t="n">
        <v>50.853</v>
      </c>
      <c r="J99" s="104" t="n">
        <v>62.974</v>
      </c>
      <c r="K99" s="105" t="n">
        <v>1</v>
      </c>
      <c r="L99" s="105" t="n">
        <v>1</v>
      </c>
      <c r="M99" s="105" t="n">
        <v>0.94914</v>
      </c>
      <c r="N99" s="104" t="n">
        <v>36.949</v>
      </c>
      <c r="O99" s="99" t="inlineStr">
        <is>
          <t>PE margin 2.0 K</t>
        </is>
      </c>
    </row>
    <row r="100" ht="15" customHeight="1" s="65">
      <c r="A100" s="99" t="inlineStr">
        <is>
          <t>S4_dyncharge_3p0MW</t>
        </is>
      </c>
      <c r="B100" s="99" t="inlineStr">
        <is>
          <t>precond</t>
        </is>
      </c>
      <c r="C100" s="99" t="n">
        <v>50</v>
      </c>
      <c r="D100" s="103" t="inlineStr">
        <is>
          <t>FAIL</t>
        </is>
      </c>
      <c r="E100" s="104" t="n">
        <v>25</v>
      </c>
      <c r="F100" s="104" t="n">
        <v>28.238</v>
      </c>
      <c r="G100" s="104" t="n">
        <v>58.549</v>
      </c>
      <c r="H100" s="104" t="n">
        <v>58.549</v>
      </c>
      <c r="I100" s="104" t="n">
        <v>60.81</v>
      </c>
      <c r="J100" s="104" t="n">
        <v>69.39</v>
      </c>
      <c r="K100" s="105" t="n">
        <v>1</v>
      </c>
      <c r="L100" s="105" t="n">
        <v>1</v>
      </c>
      <c r="M100" s="105" t="n">
        <v>0.94912</v>
      </c>
      <c r="N100" s="104" t="n">
        <v>44.577</v>
      </c>
      <c r="O100" s="99" t="inlineStr">
        <is>
          <t>charger supply &gt; 55 C; inverter fluid &gt; 60 C; condenser loop &gt; 65 C (check valve)</t>
        </is>
      </c>
    </row>
    <row r="101" ht="15" customHeight="1" s="65">
      <c r="A101" s="99" t="inlineStr">
        <is>
          <t>S5_cont_pull_10mph</t>
        </is>
      </c>
      <c r="B101" s="99" t="inlineStr">
        <is>
          <t>precond</t>
        </is>
      </c>
      <c r="C101" s="99" t="n">
        <v>0</v>
      </c>
      <c r="D101" s="107" t="inlineStr">
        <is>
          <t>OPTIMAL</t>
        </is>
      </c>
      <c r="E101" s="104" t="n">
        <v>24.862</v>
      </c>
      <c r="F101" s="104" t="n">
        <v>25</v>
      </c>
      <c r="G101" s="104" t="n">
        <v>7.6752</v>
      </c>
      <c r="H101" s="99" t="n"/>
      <c r="I101" s="104" t="n">
        <v>9.3024</v>
      </c>
      <c r="J101" s="104" t="n">
        <v>0</v>
      </c>
      <c r="K101" s="105" t="n">
        <v>1</v>
      </c>
      <c r="L101" s="105" t="n">
        <v>1</v>
      </c>
      <c r="M101" s="105" t="n">
        <v>0.6238899999999999</v>
      </c>
      <c r="N101" s="104" t="n">
        <v>2.5656</v>
      </c>
      <c r="O101" s="99" t="n"/>
    </row>
    <row r="102" ht="15" customHeight="1" s="65">
      <c r="A102" s="99" t="inlineStr">
        <is>
          <t>S5_cont_pull_10mph</t>
        </is>
      </c>
      <c r="B102" s="99" t="inlineStr">
        <is>
          <t>precond</t>
        </is>
      </c>
      <c r="C102" s="99" t="n">
        <v>10</v>
      </c>
      <c r="D102" s="107" t="inlineStr">
        <is>
          <t>OPTIMAL</t>
        </is>
      </c>
      <c r="E102" s="104" t="n">
        <v>24.981</v>
      </c>
      <c r="F102" s="104" t="n">
        <v>25.286</v>
      </c>
      <c r="G102" s="104" t="n">
        <v>17.675</v>
      </c>
      <c r="H102" s="99" t="n"/>
      <c r="I102" s="104" t="n">
        <v>19.302</v>
      </c>
      <c r="J102" s="104" t="n">
        <v>10</v>
      </c>
      <c r="K102" s="105" t="n">
        <v>1</v>
      </c>
      <c r="L102" s="105" t="n">
        <v>1</v>
      </c>
      <c r="M102" s="105" t="n">
        <v>0.6239</v>
      </c>
      <c r="N102" s="104" t="n">
        <v>2.5656</v>
      </c>
      <c r="O102" s="99" t="n"/>
    </row>
    <row r="103" ht="15" customHeight="1" s="65">
      <c r="A103" s="99" t="inlineStr">
        <is>
          <t>S5_cont_pull_10mph</t>
        </is>
      </c>
      <c r="B103" s="99" t="inlineStr">
        <is>
          <t>precond</t>
        </is>
      </c>
      <c r="C103" s="99" t="n">
        <v>20</v>
      </c>
      <c r="D103" s="107" t="inlineStr">
        <is>
          <t>OPTIMAL</t>
        </is>
      </c>
      <c r="E103" s="104" t="n">
        <v>24.997</v>
      </c>
      <c r="F103" s="104" t="n">
        <v>25.653</v>
      </c>
      <c r="G103" s="104" t="n">
        <v>27.675</v>
      </c>
      <c r="H103" s="99" t="n"/>
      <c r="I103" s="104" t="n">
        <v>29.302</v>
      </c>
      <c r="J103" s="104" t="n">
        <v>20</v>
      </c>
      <c r="K103" s="105" t="n">
        <v>1</v>
      </c>
      <c r="L103" s="105" t="n">
        <v>1</v>
      </c>
      <c r="M103" s="105" t="n">
        <v>0.62391</v>
      </c>
      <c r="N103" s="104" t="n">
        <v>2.5656</v>
      </c>
      <c r="O103" s="99" t="n"/>
    </row>
    <row r="104" ht="15" customHeight="1" s="65">
      <c r="A104" s="99" t="inlineStr">
        <is>
          <t>S5_cont_pull_10mph</t>
        </is>
      </c>
      <c r="B104" s="99" t="inlineStr">
        <is>
          <t>precond</t>
        </is>
      </c>
      <c r="C104" s="99" t="n">
        <v>40</v>
      </c>
      <c r="D104" s="107" t="inlineStr">
        <is>
          <t>OPTIMAL</t>
        </is>
      </c>
      <c r="E104" s="104" t="n">
        <v>25</v>
      </c>
      <c r="F104" s="104" t="n">
        <v>26.433</v>
      </c>
      <c r="G104" s="104" t="n">
        <v>47.821</v>
      </c>
      <c r="H104" s="99" t="n"/>
      <c r="I104" s="104" t="n">
        <v>49.586</v>
      </c>
      <c r="J104" s="104" t="n">
        <v>40</v>
      </c>
      <c r="K104" s="105" t="n">
        <v>1</v>
      </c>
      <c r="L104" s="105" t="n">
        <v>1</v>
      </c>
      <c r="M104" s="105" t="n">
        <v>0.62244</v>
      </c>
      <c r="N104" s="104" t="n">
        <v>9.8453</v>
      </c>
      <c r="O104" s="99" t="n"/>
    </row>
    <row r="105" ht="15" customHeight="1" s="65">
      <c r="A105" s="99" t="inlineStr">
        <is>
          <t>S5_cont_pull_10mph</t>
        </is>
      </c>
      <c r="B105" s="99" t="inlineStr">
        <is>
          <t>precond</t>
        </is>
      </c>
      <c r="C105" s="99" t="n">
        <v>50</v>
      </c>
      <c r="D105" s="106" t="inlineStr">
        <is>
          <t>OK</t>
        </is>
      </c>
      <c r="E105" s="104" t="n">
        <v>25</v>
      </c>
      <c r="F105" s="104" t="n">
        <v>26.824</v>
      </c>
      <c r="G105" s="104" t="n">
        <v>57.821</v>
      </c>
      <c r="H105" s="99" t="n"/>
      <c r="I105" s="104" t="n">
        <v>59.586</v>
      </c>
      <c r="J105" s="104" t="n">
        <v>50</v>
      </c>
      <c r="K105" s="105" t="n">
        <v>1</v>
      </c>
      <c r="L105" s="105" t="n">
        <v>1</v>
      </c>
      <c r="M105" s="105" t="n">
        <v>0.62243</v>
      </c>
      <c r="N105" s="104" t="n">
        <v>9.9125</v>
      </c>
      <c r="O105" s="99" t="inlineStr">
        <is>
          <t>PE margin 0.4 K</t>
        </is>
      </c>
    </row>
    <row r="106" ht="15" customHeight="1" s="65">
      <c r="A106" s="99" t="inlineStr">
        <is>
          <t>S6_notch8_15min</t>
        </is>
      </c>
      <c r="B106" s="99" t="inlineStr">
        <is>
          <t>precond</t>
        </is>
      </c>
      <c r="C106" s="99" t="n">
        <v>0</v>
      </c>
      <c r="D106" s="107" t="inlineStr">
        <is>
          <t>OPTIMAL</t>
        </is>
      </c>
      <c r="E106" s="104" t="n">
        <v>24.962</v>
      </c>
      <c r="F106" s="104" t="n">
        <v>25.333</v>
      </c>
      <c r="G106" s="104" t="n">
        <v>8.5204</v>
      </c>
      <c r="H106" s="99" t="n"/>
      <c r="I106" s="104" t="n">
        <v>10.148</v>
      </c>
      <c r="J106" s="104" t="n">
        <v>0</v>
      </c>
      <c r="K106" s="105" t="n">
        <v>1</v>
      </c>
      <c r="L106" s="105" t="n">
        <v>1</v>
      </c>
      <c r="M106" s="105" t="n">
        <v>0.78556</v>
      </c>
      <c r="N106" s="104" t="n">
        <v>0.85449</v>
      </c>
      <c r="O106" s="99" t="n"/>
    </row>
    <row r="107" ht="15" customHeight="1" s="65">
      <c r="A107" s="99" t="inlineStr">
        <is>
          <t>S6_notch8_15min</t>
        </is>
      </c>
      <c r="B107" s="99" t="inlineStr">
        <is>
          <t>precond</t>
        </is>
      </c>
      <c r="C107" s="99" t="n">
        <v>10</v>
      </c>
      <c r="D107" s="107" t="inlineStr">
        <is>
          <t>OPTIMAL</t>
        </is>
      </c>
      <c r="E107" s="104" t="n">
        <v>24.983</v>
      </c>
      <c r="F107" s="104" t="n">
        <v>25.438</v>
      </c>
      <c r="G107" s="104" t="n">
        <v>18.52</v>
      </c>
      <c r="H107" s="99" t="n"/>
      <c r="I107" s="104" t="n">
        <v>20.148</v>
      </c>
      <c r="J107" s="104" t="n">
        <v>10</v>
      </c>
      <c r="K107" s="105" t="n">
        <v>1</v>
      </c>
      <c r="L107" s="105" t="n">
        <v>1</v>
      </c>
      <c r="M107" s="105" t="n">
        <v>0.78557</v>
      </c>
      <c r="N107" s="104" t="n">
        <v>0.85449</v>
      </c>
      <c r="O107" s="99" t="n"/>
    </row>
    <row r="108" ht="15" customHeight="1" s="65">
      <c r="A108" s="99" t="inlineStr">
        <is>
          <t>S6_notch8_15min</t>
        </is>
      </c>
      <c r="B108" s="99" t="inlineStr">
        <is>
          <t>precond</t>
        </is>
      </c>
      <c r="C108" s="99" t="n">
        <v>20</v>
      </c>
      <c r="D108" s="107" t="inlineStr">
        <is>
          <t>OPTIMAL</t>
        </is>
      </c>
      <c r="E108" s="104" t="n">
        <v>24.997</v>
      </c>
      <c r="F108" s="104" t="n">
        <v>25.543</v>
      </c>
      <c r="G108" s="104" t="n">
        <v>28.52</v>
      </c>
      <c r="H108" s="99" t="n"/>
      <c r="I108" s="104" t="n">
        <v>30.148</v>
      </c>
      <c r="J108" s="104" t="n">
        <v>20</v>
      </c>
      <c r="K108" s="105" t="n">
        <v>1</v>
      </c>
      <c r="L108" s="105" t="n">
        <v>1</v>
      </c>
      <c r="M108" s="105" t="n">
        <v>0.78557</v>
      </c>
      <c r="N108" s="104" t="n">
        <v>0.85449</v>
      </c>
      <c r="O108" s="99" t="n"/>
    </row>
    <row r="109" ht="15" customHeight="1" s="65">
      <c r="A109" s="99" t="inlineStr">
        <is>
          <t>S6_notch8_15min</t>
        </is>
      </c>
      <c r="B109" s="99" t="inlineStr">
        <is>
          <t>precond</t>
        </is>
      </c>
      <c r="C109" s="99" t="n">
        <v>40</v>
      </c>
      <c r="D109" s="107" t="inlineStr">
        <is>
          <t>OPTIMAL</t>
        </is>
      </c>
      <c r="E109" s="104" t="n">
        <v>25</v>
      </c>
      <c r="F109" s="104" t="n">
        <v>25.794</v>
      </c>
      <c r="G109" s="104" t="n">
        <v>48.657</v>
      </c>
      <c r="H109" s="99" t="n"/>
      <c r="I109" s="104" t="n">
        <v>50.422</v>
      </c>
      <c r="J109" s="104" t="n">
        <v>40</v>
      </c>
      <c r="K109" s="105" t="n">
        <v>1</v>
      </c>
      <c r="L109" s="105" t="n">
        <v>1</v>
      </c>
      <c r="M109" s="105" t="n">
        <v>0.78509</v>
      </c>
      <c r="N109" s="104" t="n">
        <v>3.2307</v>
      </c>
      <c r="O109" s="99" t="n"/>
    </row>
    <row r="110" ht="15" customHeight="1" s="65">
      <c r="A110" s="99" t="inlineStr">
        <is>
          <t>S6_notch8_15min</t>
        </is>
      </c>
      <c r="B110" s="99" t="inlineStr">
        <is>
          <t>precond</t>
        </is>
      </c>
      <c r="C110" s="99" t="n">
        <v>50</v>
      </c>
      <c r="D110" s="103" t="inlineStr">
        <is>
          <t>FAIL</t>
        </is>
      </c>
      <c r="E110" s="104" t="n">
        <v>25</v>
      </c>
      <c r="F110" s="104" t="n">
        <v>25.927</v>
      </c>
      <c r="G110" s="104" t="n">
        <v>58.659</v>
      </c>
      <c r="H110" s="99" t="n"/>
      <c r="I110" s="104" t="n">
        <v>60.424</v>
      </c>
      <c r="J110" s="104" t="n">
        <v>50</v>
      </c>
      <c r="K110" s="105" t="n">
        <v>1</v>
      </c>
      <c r="L110" s="105" t="n">
        <v>1</v>
      </c>
      <c r="M110" s="105" t="n">
        <v>0.78508</v>
      </c>
      <c r="N110" s="104" t="n">
        <v>3.3014</v>
      </c>
      <c r="O110" s="99" t="inlineStr">
        <is>
          <t>inverter fluid &gt; 60 C</t>
        </is>
      </c>
    </row>
    <row r="111" ht="15" customHeight="1" s="65">
      <c r="A111" s="99" t="inlineStr">
        <is>
          <t>S7_switch_shift_8h</t>
        </is>
      </c>
      <c r="B111" s="99" t="inlineStr">
        <is>
          <t>precond</t>
        </is>
      </c>
      <c r="C111" s="99" t="n">
        <v>0</v>
      </c>
      <c r="D111" s="107" t="inlineStr">
        <is>
          <t>OPTIMAL</t>
        </is>
      </c>
      <c r="E111" s="104" t="n">
        <v>19.048</v>
      </c>
      <c r="F111" s="104" t="n">
        <v>25</v>
      </c>
      <c r="G111" s="104" t="n">
        <v>3.1419</v>
      </c>
      <c r="H111" s="99" t="n"/>
      <c r="I111" s="104" t="n">
        <v>4.7691</v>
      </c>
      <c r="J111" s="104" t="n">
        <v>0</v>
      </c>
      <c r="K111" s="105" t="n">
        <v>1</v>
      </c>
      <c r="L111" s="105" t="n">
        <v>1</v>
      </c>
      <c r="M111" s="105" t="n">
        <v>0.7490599999999999</v>
      </c>
      <c r="N111" s="104" t="n">
        <v>17.599</v>
      </c>
      <c r="O111" s="99" t="n"/>
    </row>
    <row r="112" ht="15" customHeight="1" s="65">
      <c r="A112" s="99" t="inlineStr">
        <is>
          <t>S7_switch_shift_8h</t>
        </is>
      </c>
      <c r="B112" s="99" t="inlineStr">
        <is>
          <t>precond</t>
        </is>
      </c>
      <c r="C112" s="99" t="n">
        <v>10</v>
      </c>
      <c r="D112" s="107" t="inlineStr">
        <is>
          <t>OPTIMAL</t>
        </is>
      </c>
      <c r="E112" s="104" t="n">
        <v>21.454</v>
      </c>
      <c r="F112" s="104" t="n">
        <v>25</v>
      </c>
      <c r="G112" s="104" t="n">
        <v>13.142</v>
      </c>
      <c r="H112" s="99" t="n"/>
      <c r="I112" s="104" t="n">
        <v>14.769</v>
      </c>
      <c r="J112" s="104" t="n">
        <v>10</v>
      </c>
      <c r="K112" s="105" t="n">
        <v>1</v>
      </c>
      <c r="L112" s="105" t="n">
        <v>1</v>
      </c>
      <c r="M112" s="105" t="n">
        <v>0.7490599999999999</v>
      </c>
      <c r="N112" s="104" t="n">
        <v>17.599</v>
      </c>
      <c r="O112" s="99" t="n"/>
    </row>
    <row r="113" ht="15" customHeight="1" s="65">
      <c r="A113" s="99" t="inlineStr">
        <is>
          <t>S7_switch_shift_8h</t>
        </is>
      </c>
      <c r="B113" s="99" t="inlineStr">
        <is>
          <t>precond</t>
        </is>
      </c>
      <c r="C113" s="99" t="n">
        <v>20</v>
      </c>
      <c r="D113" s="107" t="inlineStr">
        <is>
          <t>OPTIMAL</t>
        </is>
      </c>
      <c r="E113" s="104" t="n">
        <v>23.859</v>
      </c>
      <c r="F113" s="104" t="n">
        <v>25</v>
      </c>
      <c r="G113" s="104" t="n">
        <v>23.142</v>
      </c>
      <c r="H113" s="99" t="n"/>
      <c r="I113" s="104" t="n">
        <v>24.769</v>
      </c>
      <c r="J113" s="104" t="n">
        <v>20</v>
      </c>
      <c r="K113" s="105" t="n">
        <v>1</v>
      </c>
      <c r="L113" s="105" t="n">
        <v>1</v>
      </c>
      <c r="M113" s="105" t="n">
        <v>0.74907</v>
      </c>
      <c r="N113" s="104" t="n">
        <v>17.599</v>
      </c>
      <c r="O113" s="99" t="n"/>
    </row>
    <row r="114" ht="15" customHeight="1" s="65">
      <c r="A114" s="99" t="inlineStr">
        <is>
          <t>S7_switch_shift_8h</t>
        </is>
      </c>
      <c r="B114" s="99" t="inlineStr">
        <is>
          <t>precond</t>
        </is>
      </c>
      <c r="C114" s="99" t="n">
        <v>40</v>
      </c>
      <c r="D114" s="106" t="inlineStr">
        <is>
          <t>OK</t>
        </is>
      </c>
      <c r="E114" s="104" t="n">
        <v>25</v>
      </c>
      <c r="F114" s="104" t="n">
        <v>28.002</v>
      </c>
      <c r="G114" s="104" t="n">
        <v>43.73</v>
      </c>
      <c r="H114" s="99" t="n"/>
      <c r="I114" s="104" t="n">
        <v>46.008</v>
      </c>
      <c r="J114" s="104" t="n">
        <v>62.974</v>
      </c>
      <c r="K114" s="105" t="n">
        <v>1</v>
      </c>
      <c r="L114" s="105" t="n">
        <v>1</v>
      </c>
      <c r="M114" s="105" t="n">
        <v>0.73961</v>
      </c>
      <c r="N114" s="104" t="n">
        <v>64.83799999999999</v>
      </c>
      <c r="O114" s="99" t="inlineStr">
        <is>
          <t>PE margin 2.0 K</t>
        </is>
      </c>
    </row>
    <row r="115" ht="15" customHeight="1" s="65">
      <c r="A115" s="99" t="inlineStr">
        <is>
          <t>S7_switch_shift_8h</t>
        </is>
      </c>
      <c r="B115" s="99" t="inlineStr">
        <is>
          <t>precond</t>
        </is>
      </c>
      <c r="C115" s="99" t="n">
        <v>50</v>
      </c>
      <c r="D115" s="103" t="inlineStr">
        <is>
          <t>FAIL</t>
        </is>
      </c>
      <c r="E115" s="104" t="n">
        <v>25</v>
      </c>
      <c r="F115" s="104" t="n">
        <v>28.005</v>
      </c>
      <c r="G115" s="104" t="n">
        <v>53.809</v>
      </c>
      <c r="H115" s="99" t="n"/>
      <c r="I115" s="104" t="n">
        <v>56.07</v>
      </c>
      <c r="J115" s="104" t="n">
        <v>69.39</v>
      </c>
      <c r="K115" s="105" t="n">
        <v>1</v>
      </c>
      <c r="L115" s="105" t="n">
        <v>1</v>
      </c>
      <c r="M115" s="105" t="n">
        <v>0.73456</v>
      </c>
      <c r="N115" s="104" t="n">
        <v>90.032</v>
      </c>
      <c r="O115" s="99" t="inlineStr">
        <is>
          <t>condenser loop &gt; 65 C (check valve)</t>
        </is>
      </c>
    </row>
    <row r="116" ht="15" customHeight="1" s="65">
      <c r="A116" s="99" t="inlineStr">
        <is>
          <t>S8_park_6h</t>
        </is>
      </c>
      <c r="B116" s="99" t="inlineStr">
        <is>
          <t>precond</t>
        </is>
      </c>
      <c r="C116" s="99" t="n">
        <v>0</v>
      </c>
      <c r="D116" s="107" t="inlineStr">
        <is>
          <t>OPTIMAL</t>
        </is>
      </c>
      <c r="E116" s="104" t="n">
        <v>20.334</v>
      </c>
      <c r="F116" s="104" t="n">
        <v>25</v>
      </c>
      <c r="G116" s="104" t="n">
        <v>0.6988</v>
      </c>
      <c r="H116" s="99" t="n"/>
      <c r="I116" s="104" t="n">
        <v>0.96635</v>
      </c>
      <c r="J116" s="104" t="n">
        <v>0</v>
      </c>
      <c r="K116" s="105" t="n">
        <v>1</v>
      </c>
      <c r="L116" s="105" t="n">
        <v>1</v>
      </c>
      <c r="M116" s="105" t="n">
        <v>0.58525</v>
      </c>
      <c r="N116" s="104" t="n">
        <v>13.199</v>
      </c>
      <c r="O116" s="99" t="n"/>
    </row>
    <row r="117" ht="15" customHeight="1" s="65">
      <c r="A117" s="99" t="inlineStr">
        <is>
          <t>S8_park_6h</t>
        </is>
      </c>
      <c r="B117" s="99" t="inlineStr">
        <is>
          <t>precond</t>
        </is>
      </c>
      <c r="C117" s="99" t="n">
        <v>10</v>
      </c>
      <c r="D117" s="107" t="inlineStr">
        <is>
          <t>OPTIMAL</t>
        </is>
      </c>
      <c r="E117" s="104" t="n">
        <v>22.201</v>
      </c>
      <c r="F117" s="104" t="n">
        <v>25</v>
      </c>
      <c r="G117" s="104" t="n">
        <v>10.699</v>
      </c>
      <c r="H117" s="99" t="n"/>
      <c r="I117" s="104" t="n">
        <v>10.966</v>
      </c>
      <c r="J117" s="104" t="n">
        <v>10</v>
      </c>
      <c r="K117" s="105" t="n">
        <v>1</v>
      </c>
      <c r="L117" s="105" t="n">
        <v>1</v>
      </c>
      <c r="M117" s="105" t="n">
        <v>0.58525</v>
      </c>
      <c r="N117" s="104" t="n">
        <v>13.199</v>
      </c>
      <c r="O117" s="99" t="n"/>
    </row>
    <row r="118" ht="15" customHeight="1" s="65">
      <c r="A118" s="99" t="inlineStr">
        <is>
          <t>S8_park_6h</t>
        </is>
      </c>
      <c r="B118" s="99" t="inlineStr">
        <is>
          <t>precond</t>
        </is>
      </c>
      <c r="C118" s="99" t="n">
        <v>20</v>
      </c>
      <c r="D118" s="107" t="inlineStr">
        <is>
          <t>OPTIMAL</t>
        </is>
      </c>
      <c r="E118" s="104" t="n">
        <v>24.067</v>
      </c>
      <c r="F118" s="104" t="n">
        <v>25</v>
      </c>
      <c r="G118" s="104" t="n">
        <v>20.699</v>
      </c>
      <c r="H118" s="99" t="n"/>
      <c r="I118" s="104" t="n">
        <v>20.966</v>
      </c>
      <c r="J118" s="104" t="n">
        <v>20</v>
      </c>
      <c r="K118" s="105" t="n">
        <v>1</v>
      </c>
      <c r="L118" s="105" t="n">
        <v>1</v>
      </c>
      <c r="M118" s="105" t="n">
        <v>0.58525</v>
      </c>
      <c r="N118" s="104" t="n">
        <v>13.199</v>
      </c>
      <c r="O118" s="99" t="n"/>
    </row>
    <row r="119" ht="15" customHeight="1" s="65">
      <c r="A119" s="99" t="inlineStr">
        <is>
          <t>S8_park_6h</t>
        </is>
      </c>
      <c r="B119" s="99" t="inlineStr">
        <is>
          <t>precond</t>
        </is>
      </c>
      <c r="C119" s="99" t="n">
        <v>40</v>
      </c>
      <c r="D119" s="107" t="inlineStr">
        <is>
          <t>OPTIMAL</t>
        </is>
      </c>
      <c r="E119" s="104" t="n">
        <v>25</v>
      </c>
      <c r="F119" s="104" t="n">
        <v>27.8</v>
      </c>
      <c r="G119" s="104" t="n">
        <v>40.78</v>
      </c>
      <c r="H119" s="99" t="n"/>
      <c r="I119" s="104" t="n">
        <v>41.124</v>
      </c>
      <c r="J119" s="104" t="n">
        <v>40</v>
      </c>
      <c r="K119" s="105" t="n">
        <v>1</v>
      </c>
      <c r="L119" s="105" t="n">
        <v>1</v>
      </c>
      <c r="M119" s="105" t="n">
        <v>0.58104</v>
      </c>
      <c r="N119" s="104" t="n">
        <v>34.124</v>
      </c>
      <c r="O119" s="99" t="n"/>
    </row>
    <row r="120" ht="15" customHeight="1" s="65">
      <c r="A120" s="99" t="inlineStr">
        <is>
          <t>S8_park_6h</t>
        </is>
      </c>
      <c r="B120" s="99" t="inlineStr">
        <is>
          <t>precond</t>
        </is>
      </c>
      <c r="C120" s="99" t="n">
        <v>50</v>
      </c>
      <c r="D120" s="103" t="inlineStr">
        <is>
          <t>FAIL</t>
        </is>
      </c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inlineStr">
        <is>
          <t>condenser loop &gt; 65 C (check valve)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64" min="1" max="1"/>
    <col width="52" customWidth="1" style="64" min="2" max="2"/>
    <col width="40" customWidth="1" style="64" min="3" max="3"/>
    <col width="12" customWidth="1" style="64" min="4" max="4"/>
    <col width="10" customWidth="1" style="64" min="5" max="13"/>
    <col width="48" customWidth="1" style="64" min="14" max="14"/>
  </cols>
  <sheetData>
    <row r="1" ht="15" customHeight="1" s="65">
      <c r="A1" s="75" t="inlineStr">
        <is>
          <t>Phase 3 system model (loco_system/voltify_loco_system.slx, 2026-10-08)</t>
        </is>
      </c>
    </row>
    <row r="3" ht="15" customHeight="1" s="65">
      <c r="A3" s="108" t="inlineStr">
        <is>
          <t>Subsystem</t>
        </is>
      </c>
      <c r="B3" s="108" t="inlineStr">
        <is>
          <t>Contents</t>
        </is>
      </c>
      <c r="C3" s="108" t="inlineStr">
        <is>
          <t>Edit via</t>
        </is>
      </c>
    </row>
    <row r="4" ht="23.25" customHeight="1" s="65">
      <c r="A4" s="71" t="inlineStr">
        <is>
          <t>Scenario</t>
        </is>
      </c>
      <c r="B4" s="71" t="inlineStr">
        <is>
          <t>Duty trace: speed, grade, ambient, trailing tons, wire power, state request</t>
        </is>
      </c>
      <c r="C4" s="71" t="inlineStr">
        <is>
          <t>traces/*.csv</t>
        </is>
      </c>
    </row>
    <row r="5" ht="15" customHeight="1" s="65">
      <c r="A5" s="71" t="inlineStr">
        <is>
          <t>Fault Injection</t>
        </is>
      </c>
      <c r="B5" s="71" t="inlineStr">
        <is>
          <t>14 fault channels, piecewise constant in time</t>
        </is>
      </c>
      <c r="C5" s="71" t="inlineStr">
        <is>
          <t>faults/*.csv</t>
        </is>
      </c>
    </row>
    <row r="6" ht="34.5" customHeight="1" s="65">
      <c r="A6" s="71" t="inlineStr">
        <is>
          <t>Controls</t>
        </is>
      </c>
      <c r="B6" s="71" t="inlineStr">
        <is>
          <t>Stateflow State Manager (SLEEP/STANDBY/READY/TRACTION/CHARGING/FAULT/ESTOP); Command Arbiter; Power Budget</t>
        </is>
      </c>
      <c r="C6" s="71" t="inlineStr">
        <is>
          <t>Chart; load_budget.csv</t>
        </is>
      </c>
    </row>
    <row r="7" ht="23.25" customHeight="1" s="65">
      <c r="A7" s="71" t="inlineStr">
        <is>
          <t>Plant</t>
        </is>
      </c>
      <c r="B7" s="71" t="inlineStr">
        <is>
          <t>Simscape locosys.locomotive_sys: battery 12 strings, DC link, 4 axles (chopper + D77), train, aux chain, ITV, thermal network</t>
        </is>
      </c>
      <c r="C7" s="71" t="inlineStr">
        <is>
          <t>+locosys/*.ssc; proto_loco_params.m</t>
        </is>
      </c>
    </row>
    <row r="8" ht="23.25" customHeight="1" s="65">
      <c r="A8" s="71" t="inlineStr">
        <is>
          <t>Dashboard</t>
        </is>
      </c>
      <c r="B8" s="71" t="inlineStr">
        <is>
          <t>Scopes; logs Y, SYS, LOADS, BUSES; report: verdict, time in state, energy by load/bus</t>
        </is>
      </c>
      <c r="C8" s="71" t="inlineStr">
        <is>
          <t>report_loco_run.m</t>
        </is>
      </c>
    </row>
    <row r="11" ht="15" customHeight="1" s="65">
      <c r="A11" s="75" t="inlineStr">
        <is>
          <t>Auxiliary load budget by operating state (kW at the load; TMS and traction excluded) — baseline: Micah POC Power Budget Rev B</t>
        </is>
      </c>
    </row>
    <row r="12" ht="23.25" customHeight="1" s="65">
      <c r="A12" s="70" t="inlineStr">
        <is>
          <t>load_id</t>
        </is>
      </c>
      <c r="B12" s="70" t="inlineStr">
        <is>
          <t>micah_id</t>
        </is>
      </c>
      <c r="C12" s="70" t="inlineStr">
        <is>
          <t>name</t>
        </is>
      </c>
      <c r="D12" s="70" t="inlineStr">
        <is>
          <t>bus</t>
        </is>
      </c>
      <c r="E12" s="70" t="inlineStr">
        <is>
          <t>SLEEP</t>
        </is>
      </c>
      <c r="F12" s="70" t="inlineStr">
        <is>
          <t>STANDBY</t>
        </is>
      </c>
      <c r="G12" s="70" t="inlineStr">
        <is>
          <t>READY</t>
        </is>
      </c>
      <c r="H12" s="70" t="inlineStr">
        <is>
          <t>TRACTION</t>
        </is>
      </c>
      <c r="I12" s="70" t="inlineStr">
        <is>
          <t>CHARGING</t>
        </is>
      </c>
      <c r="J12" s="70" t="inlineStr">
        <is>
          <t>FAULT</t>
        </is>
      </c>
      <c r="K12" s="70" t="inlineStr">
        <is>
          <t>ESTOP</t>
        </is>
      </c>
      <c r="L12" s="70" t="inlineStr">
        <is>
          <t>moving_kW</t>
        </is>
      </c>
      <c r="M12" s="70" t="inlineStr">
        <is>
          <t>peak_kW</t>
        </is>
      </c>
      <c r="N12" s="70" t="inlineStr">
        <is>
          <t>source</t>
        </is>
      </c>
    </row>
    <row r="13" ht="23.25" customHeight="1" s="65">
      <c r="A13" s="71" t="inlineStr">
        <is>
          <t>L01</t>
        </is>
      </c>
      <c r="B13" s="71" t="inlineStr">
        <is>
          <t>C24-01..07</t>
        </is>
      </c>
      <c r="C13" s="71" t="inlineStr">
        <is>
          <t>HVC VMS and comms (Premio; HMI; UPS; Starlink; router; gateway; RFID)</t>
        </is>
      </c>
      <c r="D13" s="71" t="inlineStr">
        <is>
          <t>24V_Ctrl</t>
        </is>
      </c>
      <c r="E13" s="96" t="n">
        <v>0.05</v>
      </c>
      <c r="F13" s="96" t="n">
        <v>0.155</v>
      </c>
      <c r="G13" s="96" t="n">
        <v>0.155</v>
      </c>
      <c r="H13" s="96" t="n">
        <v>0.155</v>
      </c>
      <c r="I13" s="96" t="n">
        <v>0.155</v>
      </c>
      <c r="J13" s="96" t="n">
        <v>0.155</v>
      </c>
      <c r="K13" s="96" t="n">
        <v>0</v>
      </c>
      <c r="L13" s="96" t="n">
        <v>0</v>
      </c>
      <c r="M13" s="96" t="n">
        <v>0.29</v>
      </c>
      <c r="N13" s="71" t="inlineStr">
        <is>
          <t>POC Power Budget Rev B; SLEEP = UPS hold (arch doc)</t>
        </is>
      </c>
    </row>
    <row r="14" ht="23.25" customHeight="1" s="65">
      <c r="A14" s="71" t="inlineStr">
        <is>
          <t>L02</t>
        </is>
      </c>
      <c r="B14" s="71" t="inlineStr">
        <is>
          <t>C24-08..09</t>
        </is>
      </c>
      <c r="C14" s="71" t="inlineStr">
        <is>
          <t>VMS VIO logic + DC-link and deep-sleep contactor coils</t>
        </is>
      </c>
      <c r="D14" s="71" t="inlineStr">
        <is>
          <t>24V_Ctrl</t>
        </is>
      </c>
      <c r="E14" s="96" t="n">
        <v>0</v>
      </c>
      <c r="F14" s="96" t="n">
        <v>0.022</v>
      </c>
      <c r="G14" s="96" t="n">
        <v>0.022</v>
      </c>
      <c r="H14" s="96" t="n">
        <v>0.022</v>
      </c>
      <c r="I14" s="96" t="n">
        <v>0.022</v>
      </c>
      <c r="J14" s="96" t="n">
        <v>0.022</v>
      </c>
      <c r="K14" s="96" t="n">
        <v>0</v>
      </c>
      <c r="L14" s="96" t="n">
        <v>0</v>
      </c>
      <c r="M14" s="96" t="n">
        <v>0.105</v>
      </c>
      <c r="N14" s="71" t="inlineStr">
        <is>
          <t>POC Power Budget Rev B</t>
        </is>
      </c>
    </row>
    <row r="15" ht="23.25" customHeight="1" s="65">
      <c r="A15" s="71" t="inlineStr">
        <is>
          <t>L03</t>
        </is>
      </c>
      <c r="B15" s="71" t="inlineStr">
        <is>
          <t>C24-11..14</t>
        </is>
      </c>
      <c r="C15" s="71" t="inlineStr">
        <is>
          <t>TRB electronics (12 BCUs; 96 BMMs; 24 string contactor coils; 2 ETH switches)</t>
        </is>
      </c>
      <c r="D15" s="71" t="inlineStr">
        <is>
          <t>24V_Ctrl</t>
        </is>
      </c>
      <c r="E15" s="96" t="n">
        <v>0</v>
      </c>
      <c r="F15" s="96" t="n">
        <v>0.177</v>
      </c>
      <c r="G15" s="96" t="n">
        <v>0.177</v>
      </c>
      <c r="H15" s="96" t="n">
        <v>0.177</v>
      </c>
      <c r="I15" s="96" t="n">
        <v>0.177</v>
      </c>
      <c r="J15" s="96" t="n">
        <v>0.177</v>
      </c>
      <c r="K15" s="96" t="n">
        <v>0</v>
      </c>
      <c r="L15" s="96" t="n">
        <v>0</v>
      </c>
      <c r="M15" s="96" t="n">
        <v>0.359</v>
      </c>
      <c r="N15" s="71" t="inlineStr">
        <is>
          <t>POC Power Budget Rev B (no ESMU on prototype)</t>
        </is>
      </c>
    </row>
    <row r="16" ht="23.25" customHeight="1" s="65">
      <c r="A16" s="71" t="inlineStr">
        <is>
          <t>L04</t>
        </is>
      </c>
      <c r="B16" s="71" t="inlineStr">
        <is>
          <t>C24-15/16/19/20</t>
        </is>
      </c>
      <c r="C16" s="71" t="inlineStr">
        <is>
          <t>HVR controllers (panto ctrl; 3 VIOs; reverser ctrl; RTV)</t>
        </is>
      </c>
      <c r="D16" s="71" t="inlineStr">
        <is>
          <t>24V_Ctrl</t>
        </is>
      </c>
      <c r="E16" s="96" t="n">
        <v>0</v>
      </c>
      <c r="F16" s="96" t="n">
        <v>0.04</v>
      </c>
      <c r="G16" s="96" t="n">
        <v>0.04</v>
      </c>
      <c r="H16" s="96" t="n">
        <v>0.04</v>
      </c>
      <c r="I16" s="96" t="n">
        <v>0.04</v>
      </c>
      <c r="J16" s="96" t="n">
        <v>0.04</v>
      </c>
      <c r="K16" s="96" t="n">
        <v>0</v>
      </c>
      <c r="L16" s="96" t="n">
        <v>0</v>
      </c>
      <c r="M16" s="96" t="n">
        <v>0.051</v>
      </c>
      <c r="N16" s="71" t="inlineStr">
        <is>
          <t>POC Power Budget Rev B</t>
        </is>
      </c>
    </row>
    <row r="17" ht="15" customHeight="1" s="65">
      <c r="A17" s="71" t="inlineStr">
        <is>
          <t>L05</t>
        </is>
      </c>
      <c r="B17" s="71" t="inlineStr">
        <is>
          <t>C24-18</t>
        </is>
      </c>
      <c r="C17" s="71" t="inlineStr">
        <is>
          <t>HSCB A/B holding (retained, v1.1)</t>
        </is>
      </c>
      <c r="D17" s="71" t="inlineStr">
        <is>
          <t>24V_Ctrl</t>
        </is>
      </c>
      <c r="E17" s="96" t="n">
        <v>0</v>
      </c>
      <c r="F17" s="96" t="n">
        <v>0</v>
      </c>
      <c r="G17" s="96" t="n">
        <v>0.06</v>
      </c>
      <c r="H17" s="96" t="n">
        <v>0.06</v>
      </c>
      <c r="I17" s="96" t="n">
        <v>0.06</v>
      </c>
      <c r="J17" s="96" t="n">
        <v>0</v>
      </c>
      <c r="K17" s="96" t="n">
        <v>0</v>
      </c>
      <c r="L17" s="96" t="n">
        <v>0</v>
      </c>
      <c r="M17" s="96" t="n">
        <v>0.1</v>
      </c>
      <c r="N17" s="71" t="inlineStr">
        <is>
          <t>POC Power Budget Rev B; held only when closed</t>
        </is>
      </c>
    </row>
    <row r="18" ht="23.25" customHeight="1" s="65">
      <c r="A18" s="71" t="inlineStr">
        <is>
          <t>L06</t>
        </is>
      </c>
      <c r="B18" s="71" t="inlineStr">
        <is>
          <t>C24-17</t>
        </is>
      </c>
      <c r="C18" s="71" t="inlineStr">
        <is>
          <t>Charging main contactor coils (panto-CP x1; charger-CP x2)</t>
        </is>
      </c>
      <c r="D18" s="71" t="inlineStr">
        <is>
          <t>24V_Ctrl</t>
        </is>
      </c>
      <c r="E18" s="96" t="n">
        <v>0</v>
      </c>
      <c r="F18" s="96" t="n">
        <v>0</v>
      </c>
      <c r="G18" s="96" t="n">
        <v>0</v>
      </c>
      <c r="H18" s="96" t="n">
        <v>0</v>
      </c>
      <c r="I18" s="96" t="n">
        <v>0.03</v>
      </c>
      <c r="J18" s="96" t="n">
        <v>0</v>
      </c>
      <c r="K18" s="96" t="n">
        <v>0</v>
      </c>
      <c r="L18" s="96" t="n">
        <v>0</v>
      </c>
      <c r="M18" s="96" t="n">
        <v>0.15</v>
      </c>
      <c r="N18" s="71" t="inlineStr">
        <is>
          <t>POC Power Budget Rev B; held only while charging</t>
        </is>
      </c>
    </row>
    <row r="19" ht="15" customHeight="1" s="65">
      <c r="A19" s="71" t="inlineStr">
        <is>
          <t>L07</t>
        </is>
      </c>
      <c r="B19" s="71" t="inlineStr">
        <is>
          <t>C24-21..25</t>
        </is>
      </c>
      <c r="C19" s="71" t="inlineStr">
        <is>
          <t>Converter and inverter control supplies</t>
        </is>
      </c>
      <c r="D19" s="71" t="inlineStr">
        <is>
          <t>24V_Ctrl</t>
        </is>
      </c>
      <c r="E19" s="96" t="n">
        <v>0</v>
      </c>
      <c r="F19" s="96" t="n">
        <v>0.1</v>
      </c>
      <c r="G19" s="96" t="n">
        <v>0.1</v>
      </c>
      <c r="H19" s="96" t="n">
        <v>0.1</v>
      </c>
      <c r="I19" s="96" t="n">
        <v>0.1</v>
      </c>
      <c r="J19" s="96" t="n">
        <v>0.1</v>
      </c>
      <c r="K19" s="96" t="n">
        <v>0</v>
      </c>
      <c r="L19" s="96" t="n">
        <v>0</v>
      </c>
      <c r="M19" s="96" t="n">
        <v>0.124</v>
      </c>
      <c r="N19" s="71" t="inlineStr">
        <is>
          <t>POC Power Budget Rev B</t>
        </is>
      </c>
    </row>
    <row r="20" ht="23.25" customHeight="1" s="65">
      <c r="A20" s="71" t="inlineStr">
        <is>
          <t>L08</t>
        </is>
      </c>
      <c r="B20" s="71" t="inlineStr">
        <is>
          <t>C24-26</t>
        </is>
      </c>
      <c r="C20" s="71" t="inlineStr">
        <is>
          <t>MCS controller logic x2 (MCS out of demo scope)</t>
        </is>
      </c>
      <c r="D20" s="71" t="inlineStr">
        <is>
          <t>24V_Ctrl</t>
        </is>
      </c>
      <c r="E20" s="96" t="n">
        <v>0</v>
      </c>
      <c r="F20" s="96" t="n">
        <v>0.01</v>
      </c>
      <c r="G20" s="96" t="n">
        <v>0.01</v>
      </c>
      <c r="H20" s="96" t="n">
        <v>0.01</v>
      </c>
      <c r="I20" s="96" t="n">
        <v>0.01</v>
      </c>
      <c r="J20" s="96" t="n">
        <v>0.01</v>
      </c>
      <c r="K20" s="96" t="n">
        <v>0</v>
      </c>
      <c r="L20" s="96" t="n">
        <v>0</v>
      </c>
      <c r="M20" s="96" t="n">
        <v>0.01</v>
      </c>
      <c r="N20" s="71" t="inlineStr">
        <is>
          <t>POC Power Budget Rev B</t>
        </is>
      </c>
    </row>
    <row r="21" ht="15" customHeight="1" s="65">
      <c r="A21" s="71" t="inlineStr">
        <is>
          <t>L09</t>
        </is>
      </c>
      <c r="B21" s="71" t="inlineStr">
        <is>
          <t>C24-29</t>
        </is>
      </c>
      <c r="C21" s="71" t="inlineStr">
        <is>
          <t>E-Stop translators and misc relays</t>
        </is>
      </c>
      <c r="D21" s="71" t="inlineStr">
        <is>
          <t>24V_Ctrl</t>
        </is>
      </c>
      <c r="E21" s="96" t="n">
        <v>0</v>
      </c>
      <c r="F21" s="96" t="n">
        <v>0.005</v>
      </c>
      <c r="G21" s="96" t="n">
        <v>0.005</v>
      </c>
      <c r="H21" s="96" t="n">
        <v>0.005</v>
      </c>
      <c r="I21" s="96" t="n">
        <v>0.005</v>
      </c>
      <c r="J21" s="96" t="n">
        <v>0.005</v>
      </c>
      <c r="K21" s="96" t="n">
        <v>0</v>
      </c>
      <c r="L21" s="96" t="n">
        <v>0</v>
      </c>
      <c r="M21" s="96" t="n">
        <v>0.01</v>
      </c>
      <c r="N21" s="71" t="inlineStr">
        <is>
          <t>POC Power Budget Rev B</t>
        </is>
      </c>
    </row>
    <row r="22" ht="23.25" customHeight="1" s="65">
      <c r="A22" s="71" t="inlineStr">
        <is>
          <t>L10</t>
        </is>
      </c>
      <c r="B22" s="71" t="inlineStr">
        <is>
          <t>V72-02</t>
        </is>
      </c>
      <c r="C22" s="71" t="inlineStr">
        <is>
          <t>Locomotive control (cab computer; MCO position)</t>
        </is>
      </c>
      <c r="D22" s="71" t="inlineStr">
        <is>
          <t>72V</t>
        </is>
      </c>
      <c r="E22" s="96" t="n">
        <v>0</v>
      </c>
      <c r="F22" s="96" t="n">
        <v>0.03</v>
      </c>
      <c r="G22" s="96" t="n">
        <v>0.03</v>
      </c>
      <c r="H22" s="96" t="n">
        <v>0.03</v>
      </c>
      <c r="I22" s="96" t="n">
        <v>0.03</v>
      </c>
      <c r="J22" s="96" t="n">
        <v>0.03</v>
      </c>
      <c r="K22" s="96" t="n">
        <v>0</v>
      </c>
      <c r="L22" s="96" t="n">
        <v>0</v>
      </c>
      <c r="M22" s="96" t="n">
        <v>0.08</v>
      </c>
      <c r="N22" s="71" t="inlineStr">
        <is>
          <t>POC Power Budget Rev B</t>
        </is>
      </c>
    </row>
    <row r="23" ht="15" customHeight="1" s="65">
      <c r="A23" s="71" t="inlineStr">
        <is>
          <t>L11</t>
        </is>
      </c>
      <c r="B23" s="71" t="inlineStr">
        <is>
          <t>V72-03</t>
        </is>
      </c>
      <c r="C23" s="71" t="inlineStr">
        <is>
          <t>Cab lights and displays</t>
        </is>
      </c>
      <c r="D23" s="71" t="inlineStr">
        <is>
          <t>72V</t>
        </is>
      </c>
      <c r="E23" s="96" t="n">
        <v>0</v>
      </c>
      <c r="F23" s="96" t="n">
        <v>0.08</v>
      </c>
      <c r="G23" s="96" t="n">
        <v>0.08</v>
      </c>
      <c r="H23" s="96" t="n">
        <v>0.08</v>
      </c>
      <c r="I23" s="96" t="n">
        <v>0.08</v>
      </c>
      <c r="J23" s="96" t="n">
        <v>0.08</v>
      </c>
      <c r="K23" s="96" t="n">
        <v>0</v>
      </c>
      <c r="L23" s="96" t="n">
        <v>0</v>
      </c>
      <c r="M23" s="96" t="n">
        <v>0.2</v>
      </c>
      <c r="N23" s="71" t="inlineStr">
        <is>
          <t>POC Power Budget Rev B</t>
        </is>
      </c>
    </row>
    <row r="24" ht="34.5" customHeight="1" s="65">
      <c r="A24" s="71" t="inlineStr">
        <is>
          <t>L12</t>
        </is>
      </c>
      <c r="B24" s="71" t="inlineStr">
        <is>
          <t>V72-04</t>
        </is>
      </c>
      <c r="C24" s="71" t="inlineStr">
        <is>
          <t>Cab HVAC (nominal = 50% cycling)</t>
        </is>
      </c>
      <c r="D24" s="71" t="inlineStr">
        <is>
          <t>72V</t>
        </is>
      </c>
      <c r="E24" s="96" t="n">
        <v>0</v>
      </c>
      <c r="F24" s="96" t="n">
        <v>0</v>
      </c>
      <c r="G24" s="96" t="n">
        <v>0.75</v>
      </c>
      <c r="H24" s="96" t="n">
        <v>0.75</v>
      </c>
      <c r="I24" s="96" t="n">
        <v>0.75</v>
      </c>
      <c r="J24" s="96" t="n">
        <v>0</v>
      </c>
      <c r="K24" s="96" t="n">
        <v>0</v>
      </c>
      <c r="L24" s="96" t="n">
        <v>0</v>
      </c>
      <c r="M24" s="96" t="n">
        <v>1.5</v>
      </c>
      <c r="N24" s="71" t="inlineStr">
        <is>
          <t>POC Power Budget Rev B; crew present in READY/TRACTION/CHARGING (state mapping = assumption)</t>
        </is>
      </c>
    </row>
    <row r="25" ht="15" customHeight="1" s="65">
      <c r="A25" s="71" t="inlineStr">
        <is>
          <t>L13</t>
        </is>
      </c>
      <c r="B25" s="71" t="inlineStr">
        <is>
          <t>V72-05</t>
        </is>
      </c>
      <c r="C25" s="71" t="inlineStr">
        <is>
          <t>Exterior lighting (headlights; ditch; class)</t>
        </is>
      </c>
      <c r="D25" s="71" t="inlineStr">
        <is>
          <t>72V</t>
        </is>
      </c>
      <c r="E25" s="96" t="n">
        <v>0</v>
      </c>
      <c r="F25" s="96" t="n">
        <v>0</v>
      </c>
      <c r="G25" s="96" t="n">
        <v>0.4</v>
      </c>
      <c r="H25" s="96" t="n">
        <v>0.4</v>
      </c>
      <c r="I25" s="96" t="n">
        <v>0.4</v>
      </c>
      <c r="J25" s="96" t="n">
        <v>0</v>
      </c>
      <c r="K25" s="96" t="n">
        <v>0</v>
      </c>
      <c r="L25" s="96" t="n">
        <v>0</v>
      </c>
      <c r="M25" s="96" t="n">
        <v>0.8</v>
      </c>
      <c r="N25" s="71" t="inlineStr">
        <is>
          <t>POC Power Budget Rev B (assumption in source)</t>
        </is>
      </c>
    </row>
    <row r="26" ht="15" customHeight="1" s="65">
      <c r="A26" s="71" t="inlineStr">
        <is>
          <t>L14</t>
        </is>
      </c>
      <c r="B26" s="71" t="inlineStr">
        <is>
          <t>V72-06</t>
        </is>
      </c>
      <c r="C26" s="71" t="inlineStr">
        <is>
          <t>Wake circuit (always on)</t>
        </is>
      </c>
      <c r="D26" s="71" t="inlineStr">
        <is>
          <t>72V</t>
        </is>
      </c>
      <c r="E26" s="96" t="n">
        <v>0.005</v>
      </c>
      <c r="F26" s="96" t="n">
        <v>0.005</v>
      </c>
      <c r="G26" s="96" t="n">
        <v>0.005</v>
      </c>
      <c r="H26" s="96" t="n">
        <v>0.005</v>
      </c>
      <c r="I26" s="96" t="n">
        <v>0.005</v>
      </c>
      <c r="J26" s="96" t="n">
        <v>0.005</v>
      </c>
      <c r="K26" s="96" t="n">
        <v>0.005</v>
      </c>
      <c r="L26" s="96" t="n">
        <v>0</v>
      </c>
      <c r="M26" s="96" t="n">
        <v>0.005</v>
      </c>
      <c r="N26" s="71" t="inlineStr">
        <is>
          <t>POC Power Budget Rev B</t>
        </is>
      </c>
    </row>
    <row r="27" ht="15" customHeight="1" s="65">
      <c r="A27" s="71" t="inlineStr">
        <is>
          <t>L15</t>
        </is>
      </c>
      <c r="B27" s="71" t="inlineStr">
        <is>
          <t>V72-07</t>
        </is>
      </c>
      <c r="C27" s="71" t="inlineStr">
        <is>
          <t>E-Stop 72 V loop</t>
        </is>
      </c>
      <c r="D27" s="71" t="inlineStr">
        <is>
          <t>72V</t>
        </is>
      </c>
      <c r="E27" s="96" t="n">
        <v>0</v>
      </c>
      <c r="F27" s="96" t="n">
        <v>0.002</v>
      </c>
      <c r="G27" s="96" t="n">
        <v>0.002</v>
      </c>
      <c r="H27" s="96" t="n">
        <v>0.002</v>
      </c>
      <c r="I27" s="96" t="n">
        <v>0.002</v>
      </c>
      <c r="J27" s="96" t="n">
        <v>0.002</v>
      </c>
      <c r="K27" s="96" t="n">
        <v>0</v>
      </c>
      <c r="L27" s="96" t="n">
        <v>0</v>
      </c>
      <c r="M27" s="96" t="n">
        <v>0.002</v>
      </c>
      <c r="N27" s="71" t="inlineStr">
        <is>
          <t>POC Power Budget Rev B</t>
        </is>
      </c>
    </row>
    <row r="28" ht="15" customHeight="1" s="65">
      <c r="A28" s="71" t="inlineStr">
        <is>
          <t>L16</t>
        </is>
      </c>
      <c r="B28" s="71" t="inlineStr">
        <is>
          <t>V72-08</t>
        </is>
      </c>
      <c r="C28" s="71" t="inlineStr">
        <is>
          <t>Polarity reverser coil (latching: 0 W held)</t>
        </is>
      </c>
      <c r="D28" s="71" t="inlineStr">
        <is>
          <t>72V</t>
        </is>
      </c>
      <c r="E28" s="96" t="n">
        <v>0</v>
      </c>
      <c r="F28" s="96" t="n">
        <v>0</v>
      </c>
      <c r="G28" s="96" t="n">
        <v>0</v>
      </c>
      <c r="H28" s="96" t="n">
        <v>0</v>
      </c>
      <c r="I28" s="96" t="n">
        <v>0</v>
      </c>
      <c r="J28" s="96" t="n">
        <v>0</v>
      </c>
      <c r="K28" s="96" t="n">
        <v>0</v>
      </c>
      <c r="L28" s="96" t="n">
        <v>0</v>
      </c>
      <c r="M28" s="96" t="n">
        <v>0.36</v>
      </c>
      <c r="N28" s="71" t="inlineStr">
        <is>
          <t>POC Power Budget Rev B</t>
        </is>
      </c>
    </row>
    <row r="29" ht="23.25" customHeight="1" s="65">
      <c r="A29" s="71" t="inlineStr">
        <is>
          <t>L17</t>
        </is>
      </c>
      <c r="B29" s="71" t="inlineStr">
        <is>
          <t>B24-03</t>
        </is>
      </c>
      <c r="C29" s="71" t="inlineStr">
        <is>
          <t>Pantograph 24 V kits x4 (folded sense; raised hold when charging)</t>
        </is>
      </c>
      <c r="D29" s="71" t="inlineStr">
        <is>
          <t>24V_BTMS</t>
        </is>
      </c>
      <c r="E29" s="96" t="n">
        <v>0</v>
      </c>
      <c r="F29" s="96" t="n">
        <v>0.015</v>
      </c>
      <c r="G29" s="96" t="n">
        <v>0.015</v>
      </c>
      <c r="H29" s="96" t="n">
        <v>0.015</v>
      </c>
      <c r="I29" s="96" t="n">
        <v>0.1</v>
      </c>
      <c r="J29" s="96" t="n">
        <v>0.015</v>
      </c>
      <c r="K29" s="96" t="n">
        <v>0</v>
      </c>
      <c r="L29" s="96" t="n">
        <v>0</v>
      </c>
      <c r="M29" s="96" t="n">
        <v>1</v>
      </c>
      <c r="N29" s="71" t="inlineStr">
        <is>
          <t>POC Power Budget Rev B (folded 15 W from arch doc)</t>
        </is>
      </c>
    </row>
    <row r="30" ht="15" customHeight="1" s="65">
      <c r="A30" s="71" t="inlineStr">
        <is>
          <t>L18</t>
        </is>
      </c>
      <c r="B30" s="71" t="inlineStr">
        <is>
          <t>B12-03/06/07</t>
        </is>
      </c>
      <c r="C30" s="71" t="inlineStr">
        <is>
          <t>MTM ECUs x4; Thermiantor3; heater LV logic</t>
        </is>
      </c>
      <c r="D30" s="71" t="inlineStr">
        <is>
          <t>12V_BTMS</t>
        </is>
      </c>
      <c r="E30" s="96" t="n">
        <v>0</v>
      </c>
      <c r="F30" s="96" t="n">
        <v>0.047</v>
      </c>
      <c r="G30" s="96" t="n">
        <v>0.047</v>
      </c>
      <c r="H30" s="96" t="n">
        <v>0.047</v>
      </c>
      <c r="I30" s="96" t="n">
        <v>0.047</v>
      </c>
      <c r="J30" s="96" t="n">
        <v>0.047</v>
      </c>
      <c r="K30" s="96" t="n">
        <v>0</v>
      </c>
      <c r="L30" s="96" t="n">
        <v>0</v>
      </c>
      <c r="M30" s="96" t="n">
        <v>0.25</v>
      </c>
      <c r="N30" s="71" t="inlineStr">
        <is>
          <t>POC Power Budget Rev B</t>
        </is>
      </c>
    </row>
    <row r="31" ht="23.25" customHeight="1" s="65">
      <c r="A31" s="71" t="inlineStr">
        <is>
          <t>L19</t>
        </is>
      </c>
      <c r="B31" s="71" t="inlineStr">
        <is>
          <t>H75-04</t>
        </is>
      </c>
      <c r="C31" s="71" t="inlineStr">
        <is>
          <t>Brake compressor via ACH inverter (nominal = 30% cycling)</t>
        </is>
      </c>
      <c r="D31" s="71" t="inlineStr">
        <is>
          <t>750V</t>
        </is>
      </c>
      <c r="E31" s="96" t="n">
        <v>0</v>
      </c>
      <c r="F31" s="96" t="n">
        <v>0</v>
      </c>
      <c r="G31" s="96" t="n">
        <v>1.53</v>
      </c>
      <c r="H31" s="96" t="n">
        <v>1.53</v>
      </c>
      <c r="I31" s="96" t="n">
        <v>1.53</v>
      </c>
      <c r="J31" s="96" t="n">
        <v>0</v>
      </c>
      <c r="K31" s="96" t="n">
        <v>0</v>
      </c>
      <c r="L31" s="96" t="n">
        <v>0</v>
      </c>
      <c r="M31" s="96" t="n">
        <v>5.1</v>
      </c>
      <c r="N31" s="71" t="inlineStr">
        <is>
          <t>POC Power Budget Rev B</t>
        </is>
      </c>
    </row>
    <row r="32" ht="23.25" customHeight="1" s="65">
      <c r="A32" s="71" t="inlineStr">
        <is>
          <t>L20</t>
        </is>
      </c>
      <c r="B32" s="71" t="inlineStr">
        <is>
          <t>H75-05</t>
        </is>
      </c>
      <c r="C32" s="71" t="inlineStr">
        <is>
          <t>Traction blowers via ACH inverter (nominal = 50%; on when moving)</t>
        </is>
      </c>
      <c r="D32" s="71" t="inlineStr">
        <is>
          <t>750V</t>
        </is>
      </c>
      <c r="E32" s="96" t="n">
        <v>0</v>
      </c>
      <c r="F32" s="96" t="n">
        <v>0</v>
      </c>
      <c r="G32" s="96" t="n">
        <v>0</v>
      </c>
      <c r="H32" s="96" t="n">
        <v>0</v>
      </c>
      <c r="I32" s="96" t="n">
        <v>0</v>
      </c>
      <c r="J32" s="96" t="n">
        <v>0</v>
      </c>
      <c r="K32" s="96" t="n">
        <v>0</v>
      </c>
      <c r="L32" s="96" t="n">
        <v>12.75</v>
      </c>
      <c r="M32" s="96" t="n">
        <v>25.5</v>
      </c>
      <c r="N32" s="71" t="inlineStr">
        <is>
          <t>POC Power Budget Rev B (arch doc 25 kW; GP40-V spec says 2 x 30 HP: RSK-NEW-34)</t>
        </is>
      </c>
    </row>
    <row r="33" ht="23.25" customHeight="1" s="65">
      <c r="A33" s="71" t="inlineStr">
        <is>
          <t>L21</t>
        </is>
      </c>
      <c r="B33" s="71" t="inlineStr">
        <is>
          <t>B12-01/02</t>
        </is>
      </c>
      <c r="C33" s="71" t="inlineStr">
        <is>
          <t>SPAL 12 V radiator fans x6 (LV radiators; PE x3 + condenser x3; nominal 60% speed)</t>
        </is>
      </c>
      <c r="D33" s="71" t="inlineStr">
        <is>
          <t>12V_BTMS</t>
        </is>
      </c>
      <c r="E33" s="96" t="n">
        <v>0</v>
      </c>
      <c r="F33" s="96" t="n">
        <v>0.9</v>
      </c>
      <c r="G33" s="96" t="n">
        <v>0.9</v>
      </c>
      <c r="H33" s="96" t="n">
        <v>0.9</v>
      </c>
      <c r="I33" s="96" t="n">
        <v>0.9</v>
      </c>
      <c r="J33" s="96" t="n">
        <v>0.9</v>
      </c>
      <c r="K33" s="96" t="n">
        <v>0</v>
      </c>
      <c r="L33" s="96" t="n">
        <v>0</v>
      </c>
      <c r="M33" s="96" t="n">
        <v>2.52</v>
      </c>
      <c r="N33" s="71" t="inlineStr">
        <is>
          <t>POC Power Budget Rev B; LV radiators not in the plant thermal model (RSK-NEW-35)</t>
        </is>
      </c>
    </row>
    <row r="34" ht="15" customHeight="1" s="65">
      <c r="A34" s="75" t="inlineStr">
        <is>
          <t>Total (at the load)</t>
        </is>
      </c>
      <c r="E34" s="109">
        <f>SUM(E13:E33)</f>
        <v/>
      </c>
      <c r="F34" s="109">
        <f>SUM(F13:F33)</f>
        <v/>
      </c>
      <c r="G34" s="109">
        <f>SUM(G13:G33)</f>
        <v/>
      </c>
      <c r="H34" s="109">
        <f>SUM(H13:H33)</f>
        <v/>
      </c>
      <c r="I34" s="109">
        <f>SUM(I13:I33)</f>
        <v/>
      </c>
      <c r="J34" s="109">
        <f>SUM(J13:J33)</f>
        <v/>
      </c>
      <c r="K34" s="109">
        <f>SUM(K13:K33)</f>
        <v/>
      </c>
      <c r="L34" s="109">
        <f>SUM(L13:L33)</f>
        <v/>
      </c>
      <c r="M34" s="109">
        <f>SUM(M13:M33)</f>
        <v/>
      </c>
    </row>
    <row r="35" ht="15" customHeight="1" s="65">
      <c r="A35" s="73" t="inlineStr">
        <is>
          <t>Blue cells mirror loco_system/load_budget.csv (edit the CSV for the model). At the 750 V bus (after converter efficiencies): ~0.8 kW STANDBY, ~3.6 kW READY/TRACTION, ~3.7 kW CHARGING, +12.75 kW blowers when moving. TMS (MTM compressors, HVH120 heater, SPAL pumps, fans) is computed in the plant thermal model. Phase 2 assumed 30 kW base + 42 kW moving.</t>
        </is>
      </c>
    </row>
    <row r="37" ht="15" customHeight="1" s="65">
      <c r="A37" s="75" t="inlineStr">
        <is>
          <t>Fault library (loco_system/faults/fault_library.csv)</t>
        </is>
      </c>
    </row>
    <row r="38" ht="15" customHeight="1" s="65">
      <c r="A38" s="108" t="inlineStr">
        <is>
          <t>fault_id</t>
        </is>
      </c>
      <c r="B38" s="108" t="inlineStr">
        <is>
          <t>fmea</t>
        </is>
      </c>
      <c r="C38" s="108" t="inlineStr">
        <is>
          <t>description</t>
        </is>
      </c>
      <c r="D38" s="108" t="inlineStr">
        <is>
          <t>channel</t>
        </is>
      </c>
      <c r="E38" s="108" t="inlineStr">
        <is>
          <t>active_value</t>
        </is>
      </c>
      <c r="F38" s="108" t="inlineStr">
        <is>
          <t>plant effect</t>
        </is>
      </c>
    </row>
    <row r="39" ht="34.5" customHeight="1" s="65">
      <c r="A39" s="71" t="inlineStr">
        <is>
          <t>MTM_LOSS_1</t>
        </is>
      </c>
      <c r="B39" s="71" t="inlineStr">
        <is>
          <t>F55</t>
        </is>
      </c>
      <c r="C39" s="71" t="inlineStr">
        <is>
          <t>One Maxwell chiller module lost (3 of 4)</t>
        </is>
      </c>
      <c r="D39" s="71" t="inlineStr">
        <is>
          <t>n_mtm</t>
        </is>
      </c>
      <c r="E39" s="71" t="inlineStr">
        <is>
          <t>3</t>
        </is>
      </c>
      <c r="F39" s="71" t="inlineStr">
        <is>
          <t>Chiller capacity x n/4</t>
        </is>
      </c>
    </row>
    <row r="40" ht="34.5" customHeight="1" s="65">
      <c r="A40" s="71" t="inlineStr">
        <is>
          <t>MTM_LOSS_2</t>
        </is>
      </c>
      <c r="B40" s="71" t="inlineStr">
        <is>
          <t>F55</t>
        </is>
      </c>
      <c r="C40" s="71" t="inlineStr">
        <is>
          <t>Two Maxwell chiller modules lost (2 of 4)</t>
        </is>
      </c>
      <c r="D40" s="71" t="inlineStr">
        <is>
          <t>n_mtm</t>
        </is>
      </c>
      <c r="E40" s="71" t="inlineStr">
        <is>
          <t>2</t>
        </is>
      </c>
      <c r="F40" s="71" t="inlineStr">
        <is>
          <t>Chiller capacity x n/4</t>
        </is>
      </c>
    </row>
    <row r="41" ht="23.25" customHeight="1" s="65">
      <c r="A41" s="71" t="inlineStr">
        <is>
          <t>PE_FAN_FAIL</t>
        </is>
      </c>
      <c r="B41" s="71" t="inlineStr">
        <is>
          <t>F54</t>
        </is>
      </c>
      <c r="C41" s="71" t="inlineStr">
        <is>
          <t>PE radiator fans failed (ram/natural air only)</t>
        </is>
      </c>
      <c r="D41" s="71" t="inlineStr">
        <is>
          <t>fan_pe</t>
        </is>
      </c>
      <c r="E41" s="71" t="inlineStr">
        <is>
          <t>0</t>
        </is>
      </c>
      <c r="F41" s="71" t="inlineStr">
        <is>
          <t>PE radiator UA to 20%</t>
        </is>
      </c>
    </row>
    <row r="42" ht="34.5" customHeight="1" s="65">
      <c r="A42" s="71" t="inlineStr">
        <is>
          <t>COND_FAN_FAIL</t>
        </is>
      </c>
      <c r="B42" s="71" t="inlineStr">
        <is>
          <t>F55</t>
        </is>
      </c>
      <c r="C42" s="71" t="inlineStr">
        <is>
          <t>Condenser radiator fans failed</t>
        </is>
      </c>
      <c r="D42" s="71" t="inlineStr">
        <is>
          <t>fan_cd</t>
        </is>
      </c>
      <c r="E42" s="71" t="inlineStr">
        <is>
          <t>0</t>
        </is>
      </c>
      <c r="F42" s="71" t="inlineStr">
        <is>
          <t>Condenser radiator UA to 20%</t>
        </is>
      </c>
    </row>
    <row r="43" ht="45.75" customHeight="1" s="65">
      <c r="A43" s="71" t="inlineStr">
        <is>
          <t>PE_PUMP_FAIL</t>
        </is>
      </c>
      <c r="B43" s="71" t="inlineStr">
        <is>
          <t>F54</t>
        </is>
      </c>
      <c r="C43" s="71" t="inlineStr">
        <is>
          <t>PE loop pumps failed (5% residual flow)</t>
        </is>
      </c>
      <c r="D43" s="71" t="inlineStr">
        <is>
          <t>pump_pe</t>
        </is>
      </c>
      <c r="E43" s="71" t="inlineStr">
        <is>
          <t>0.05</t>
        </is>
      </c>
      <c r="F43" s="71" t="inlineStr">
        <is>
          <t>PE flow 5%: outlet temps rise; UA falls</t>
        </is>
      </c>
    </row>
    <row r="44" ht="45.75" customHeight="1" s="65">
      <c r="A44" s="72" t="inlineStr">
        <is>
          <t>PE_PUMP_1OF3</t>
        </is>
      </c>
      <c r="B44" s="71" t="inlineStr">
        <is>
          <t>F54</t>
        </is>
      </c>
      <c r="C44" s="71" t="inlineStr">
        <is>
          <t>One of three PE SPAL pumps failed; two at 4750 rpm keep 95.4% flow (KULI 2026-10-09 App B)</t>
        </is>
      </c>
      <c r="D44" s="71" t="inlineStr">
        <is>
          <t>pump_pe</t>
        </is>
      </c>
      <c r="E44" s="71" t="inlineStr">
        <is>
          <t>0.954</t>
        </is>
      </c>
      <c r="F44" s="71" t="inlineStr">
        <is>
          <t>PE flow 95.4%: outlet temps +0.3-0.4 K</t>
        </is>
      </c>
    </row>
    <row r="45" ht="34.5" customHeight="1" s="65">
      <c r="A45" s="71" t="inlineStr">
        <is>
          <t>BAT_PUMP_FAIL</t>
        </is>
      </c>
      <c r="B45" s="71" t="inlineStr">
        <is>
          <t>TBD</t>
        </is>
      </c>
      <c r="C45" s="71" t="inlineStr">
        <is>
          <t>Battery coolant pump failed</t>
        </is>
      </c>
      <c r="D45" s="71" t="inlineStr">
        <is>
          <t>pump_bat</t>
        </is>
      </c>
      <c r="E45" s="71" t="inlineStr">
        <is>
          <t>0</t>
        </is>
      </c>
      <c r="F45" s="71" t="inlineStr">
        <is>
          <t>Cell-coolant UA to 20%</t>
        </is>
      </c>
    </row>
    <row r="46" ht="57" customHeight="1" s="65">
      <c r="A46" s="71" t="inlineStr">
        <is>
          <t>AXLE4_CUTOUT</t>
        </is>
      </c>
      <c r="B46" s="71" t="inlineStr">
        <is>
          <t>F50</t>
        </is>
      </c>
      <c r="C46" s="71" t="inlineStr">
        <is>
          <t>Axle 4 chopper/motor cut out (3 of 4 axles)</t>
        </is>
      </c>
      <c r="D46" s="71" t="inlineStr">
        <is>
          <t>n_ax_on</t>
        </is>
      </c>
      <c r="E46" s="71" t="inlineStr">
        <is>
          <t>3</t>
        </is>
      </c>
      <c r="F46" s="71" t="inlineStr">
        <is>
          <t>Adhesion and traction power x 3/4</t>
        </is>
      </c>
    </row>
    <row r="47" ht="57" customHeight="1" s="65">
      <c r="A47" s="71" t="inlineStr">
        <is>
          <t>STRING_OPEN_1</t>
        </is>
      </c>
      <c r="B47" s="71" t="inlineStr">
        <is>
          <t>TBD</t>
        </is>
      </c>
      <c r="C47" s="71" t="inlineStr">
        <is>
          <t>One battery string isolated (11 of 12)</t>
        </is>
      </c>
      <c r="D47" s="71" t="inlineStr">
        <is>
          <t>n_str</t>
        </is>
      </c>
      <c r="E47" s="71" t="inlineStr">
        <is>
          <t>11</t>
        </is>
      </c>
      <c r="F47" s="71" t="inlineStr">
        <is>
          <t>Capacity, resistance, BMS limits scale with strings</t>
        </is>
      </c>
    </row>
    <row r="48" ht="45.75" customHeight="1" s="65">
      <c r="A48" s="71" t="inlineStr">
        <is>
          <t>RACK_OPEN</t>
        </is>
      </c>
      <c r="B48" s="71" t="inlineStr">
        <is>
          <t>TBD</t>
        </is>
      </c>
      <c r="C48" s="71" t="inlineStr">
        <is>
          <t>One rack isolated (10 of 12 strings)</t>
        </is>
      </c>
      <c r="D48" s="71" t="inlineStr">
        <is>
          <t>n_str</t>
        </is>
      </c>
      <c r="E48" s="71" t="inlineStr">
        <is>
          <t>10</t>
        </is>
      </c>
      <c r="F48" s="71" t="inlineStr">
        <is>
          <t>Capacity, resistance, BMS limits scale with strings</t>
        </is>
      </c>
    </row>
    <row r="49" ht="45.75" customHeight="1" s="65">
      <c r="A49" s="71" t="inlineStr">
        <is>
          <t>TSENSE_HIGH_5K</t>
        </is>
      </c>
      <c r="B49" s="71" t="inlineStr">
        <is>
          <t>F46</t>
        </is>
      </c>
      <c r="C49" s="71" t="inlineStr">
        <is>
          <t>BMS cell temperature reads 5 K high</t>
        </is>
      </c>
      <c r="D49" s="71" t="inlineStr">
        <is>
          <t>dT_sense_K</t>
        </is>
      </c>
      <c r="E49" s="71" t="inlineStr">
        <is>
          <t>5</t>
        </is>
      </c>
      <c r="F49" s="71" t="inlineStr">
        <is>
          <t>BMS reads cell temperature offset</t>
        </is>
      </c>
    </row>
    <row r="50" ht="34.5" customHeight="1" s="65">
      <c r="A50" s="71" t="inlineStr">
        <is>
          <t>TSENSE_LOW_5K</t>
        </is>
      </c>
      <c r="B50" s="71" t="inlineStr">
        <is>
          <t>F46</t>
        </is>
      </c>
      <c r="C50" s="71" t="inlineStr">
        <is>
          <t>BMS cell temperature reads 5 K low</t>
        </is>
      </c>
      <c r="D50" s="71" t="inlineStr">
        <is>
          <t>dT_sense_K</t>
        </is>
      </c>
      <c r="E50" s="71" t="inlineStr">
        <is>
          <t>-5</t>
        </is>
      </c>
      <c r="F50" s="71" t="inlineStr">
        <is>
          <t>BMS reads cell temperature offset</t>
        </is>
      </c>
    </row>
    <row r="51" ht="45.75" customHeight="1" s="65">
      <c r="A51" s="71" t="inlineStr">
        <is>
          <t>BLOWER_FAIL</t>
        </is>
      </c>
      <c r="B51" s="71" t="inlineStr">
        <is>
          <t>F50</t>
        </is>
      </c>
      <c r="C51" s="71" t="inlineStr">
        <is>
          <t>Traction motor blowers failed</t>
        </is>
      </c>
      <c r="D51" s="71" t="inlineStr">
        <is>
          <t>blower_ok</t>
        </is>
      </c>
      <c r="E51" s="71" t="inlineStr">
        <is>
          <t>0</t>
        </is>
      </c>
      <c r="F51" s="71" t="inlineStr">
        <is>
          <t>Motor cooling UA to 15%</t>
        </is>
      </c>
    </row>
    <row r="52" ht="34.5" customHeight="1" s="65">
      <c r="A52" s="71" t="inlineStr">
        <is>
          <t>LCC_VMS_COMMS</t>
        </is>
      </c>
      <c r="B52" s="71" t="inlineStr">
        <is>
          <t>F46</t>
        </is>
      </c>
      <c r="C52" s="71" t="inlineStr">
        <is>
          <t>LCC-VMS comms loss (Class A: no traction)</t>
        </is>
      </c>
      <c r="D52" s="71" t="inlineStr">
        <is>
          <t>comms_ok</t>
        </is>
      </c>
      <c r="E52" s="71" t="inlineStr">
        <is>
          <t>0</t>
        </is>
      </c>
      <c r="F52" s="71" t="inlineStr">
        <is>
          <t>FAULT state: no traction/charging</t>
        </is>
      </c>
    </row>
    <row r="53" ht="34.5" customHeight="1" s="65">
      <c r="A53" s="71" t="inlineStr">
        <is>
          <t>AUX_DCDC_TRIP</t>
        </is>
      </c>
      <c r="B53" s="71" t="inlineStr">
        <is>
          <t>TBD</t>
        </is>
      </c>
      <c r="C53" s="71" t="inlineStr">
        <is>
          <t>1500-750 V aux converter trip (aux loads and TMS lost)</t>
        </is>
      </c>
      <c r="D53" s="71" t="inlineStr">
        <is>
          <t>aux_ok</t>
        </is>
      </c>
      <c r="E53" s="71" t="inlineStr">
        <is>
          <t>0</t>
        </is>
      </c>
      <c r="F53" s="71" t="inlineStr">
        <is>
          <t>Aux loads and TMS lost</t>
        </is>
      </c>
    </row>
    <row r="54" ht="34.5" customHeight="1" s="65">
      <c r="A54" s="71" t="inlineStr">
        <is>
          <t>CHARGER_DERATE_50</t>
        </is>
      </c>
      <c r="B54" s="71" t="inlineStr">
        <is>
          <t>TBD</t>
        </is>
      </c>
      <c r="C54" s="71" t="inlineStr">
        <is>
          <t>Onboard charger derated to 50%</t>
        </is>
      </c>
      <c r="D54" s="71" t="inlineStr">
        <is>
          <t>chg_derate</t>
        </is>
      </c>
      <c r="E54" s="71" t="inlineStr">
        <is>
          <t>0.5</t>
        </is>
      </c>
      <c r="F54" s="71" t="inlineStr">
        <is>
          <t>Charge power x value</t>
        </is>
      </c>
    </row>
    <row r="55" ht="45.75" customHeight="1" s="65">
      <c r="A55" s="71" t="inlineStr">
        <is>
          <t>ESTOP</t>
        </is>
      </c>
      <c r="B55" s="71" t="inlineStr">
        <is>
          <t>TBD</t>
        </is>
      </c>
      <c r="C55" s="71" t="inlineStr">
        <is>
          <t>E-Stop pressed</t>
        </is>
      </c>
      <c r="D55" s="71" t="inlineStr">
        <is>
          <t>estop</t>
        </is>
      </c>
      <c r="E55" s="71" t="inlineStr">
        <is>
          <t>1</t>
        </is>
      </c>
      <c r="F55" s="71" t="inlineStr">
        <is>
          <t>ESTOP: HV and TMS off</t>
        </is>
      </c>
    </row>
    <row r="56" ht="45.75" customHeight="1" s="65">
      <c r="A56" s="71" t="inlineStr">
        <is>
          <t>CLASS_A_GENERIC</t>
        </is>
      </c>
      <c r="B56" s="71" t="inlineStr">
        <is>
          <t>F46</t>
        </is>
      </c>
      <c r="C56" s="71" t="inlineStr">
        <is>
          <t>Any other Class A fault (traction and charging blocked)</t>
        </is>
      </c>
      <c r="D56" s="71" t="inlineStr">
        <is>
          <t>classA</t>
        </is>
      </c>
      <c r="E56" s="71" t="inlineStr">
        <is>
          <t>1</t>
        </is>
      </c>
      <c r="F56" s="71" t="inlineStr">
        <is>
          <t>FAULT state: no traction/charging</t>
        </is>
      </c>
    </row>
    <row r="57" ht="34.5" customHeight="1" s="65">
      <c r="A57" s="71" t="inlineStr">
        <is>
          <t>BTMS_24V_PS_TRIP</t>
        </is>
      </c>
      <c r="B57" s="71" t="inlineStr">
        <is>
          <t>F61</t>
        </is>
      </c>
      <c r="C57" s="71" t="inlineStr">
        <is>
          <t>BTMS 24 V supply (DCC65M24) trip: all SPAL pumps stop (PE loop)</t>
        </is>
      </c>
      <c r="D57" s="71" t="inlineStr">
        <is>
          <t>pump_pe</t>
        </is>
      </c>
      <c r="E57" s="71" t="inlineStr">
        <is>
          <t>0.05</t>
        </is>
      </c>
      <c r="F57" s="71" t="inlineStr">
        <is>
          <t>PE flow 5%: outlet temps rise; UA falls</t>
        </is>
      </c>
    </row>
    <row r="58" ht="34.5" customHeight="1" s="65">
      <c r="A58" s="71" t="inlineStr">
        <is>
          <t>BTMS_24V_PS_TRIP</t>
        </is>
      </c>
      <c r="B58" s="71" t="inlineStr">
        <is>
          <t>F61</t>
        </is>
      </c>
      <c r="C58" s="71" t="inlineStr">
        <is>
          <t>BTMS 24 V supply (DCC65M24) trip: all SPAL pumps stop (battery loop)</t>
        </is>
      </c>
      <c r="D58" s="71" t="inlineStr">
        <is>
          <t>pump_bat</t>
        </is>
      </c>
      <c r="E58" s="71" t="inlineStr">
        <is>
          <t>0</t>
        </is>
      </c>
      <c r="F58" s="71" t="inlineStr">
        <is>
          <t>Cell-coolant UA to 20%</t>
        </is>
      </c>
    </row>
    <row r="59" ht="34.5" customHeight="1" s="65">
      <c r="A59" s="71" t="inlineStr">
        <is>
          <t>BTMS_12V_PS_TRIP</t>
        </is>
      </c>
      <c r="B59" s="71" t="inlineStr">
        <is>
          <t>F55</t>
        </is>
      </c>
      <c r="C59" s="71" t="inlineStr">
        <is>
          <t>BTMS 12 V supply (NetPower) trip: MTM ECUs and internal pumps off (chillers lost; LV fans not modeled)</t>
        </is>
      </c>
      <c r="D59" s="71" t="inlineStr">
        <is>
          <t>n_mtm</t>
        </is>
      </c>
      <c r="E59" s="71" t="inlineStr">
        <is>
          <t>0</t>
        </is>
      </c>
      <c r="F59" s="71" t="inlineStr">
        <is>
          <t>Chiller capacity x n/4</t>
        </is>
      </c>
    </row>
    <row r="60" ht="15" customHeight="1" s="65"/>
    <row r="61" ht="15" customHeight="1" s="65">
      <c r="A61" s="75" t="inlineStr">
        <is>
          <t>Team demo (2026-10-08): example_yard_day_8h.csv (Jacksonville summer, 24-34 C, 0-3,640 t, 45 min charge)</t>
        </is>
      </c>
    </row>
    <row r="62" ht="15" customHeight="1" s="65">
      <c r="A62" s="108" t="inlineStr">
        <is>
          <t>Run</t>
        </is>
      </c>
      <c r="B62" s="108" t="inlineStr">
        <is>
          <t>Verdict</t>
        </is>
      </c>
      <c r="C62" s="108" t="inlineStr">
        <is>
          <t>Limit</t>
        </is>
      </c>
    </row>
    <row r="63" ht="57" customHeight="1" s="65">
      <c r="A63" s="71" t="inlineStr">
        <is>
          <t>Baseline (no faults)</t>
        </is>
      </c>
      <c r="B63" s="71" t="inlineStr">
        <is>
          <t>Pass (confirmed)</t>
        </is>
      </c>
      <c r="C63" s="71" t="inlineStr">
        <is>
          <t>—</t>
        </is>
      </c>
    </row>
    <row r="64" ht="57" customHeight="1" s="65">
      <c r="A64" s="71" t="inlineStr">
        <is>
          <t>Hot day + faults (MTM loss 3-8 h; PE fans off 4-5 h; axle 4 cut out 6-8 h)</t>
        </is>
      </c>
      <c r="B64" s="71" t="inlineStr">
        <is>
          <t>FAIL</t>
        </is>
      </c>
      <c r="C64" s="71" t="inlineStr">
        <is>
          <t>Chopper fluid &gt; 63 C and inverter fluid &gt; 60 C during the PE fan outage (F59)</t>
        </is>
      </c>
    </row>
    <row r="66" ht="15" customHeight="1" s="65">
      <c r="A66" s="75" t="inlineStr">
        <is>
          <t>Native Simscape plant (native/loco_native.slx, 2026-10-10)</t>
        </is>
      </c>
    </row>
    <row r="67" ht="15" customHeight="1" s="65">
      <c r="A67" s="73" t="inlineStr">
        <is>
          <t>Plant is a Variant Subsystem: PLANT_ID = 1 Phase 3 plant (locosys .ssc), PLANT_ID = 2 native plant (library native/lib/loco_native_lib.slx: TRB String x6, DC-Link, Axle x4 = Chopper + FW + D77 + gear + wheel, Vehicle, LCC, AUX, Charger + FW, Thermal Plant, TMS Controller).</t>
        </is>
      </c>
    </row>
    <row r="68" ht="15" customHeight="1" s="65">
      <c r="A68" s="73" t="inlineStr">
        <is>
          <t>Run: RUN = run_loco_native(trace, 'Plant', 'native' | 'phase3', &lt;run_loco_system options&gt;); regression: run_regression_native. Native runs at 0.45-0.95x real time (fixed-step local solvers, 1 ms).</t>
        </is>
      </c>
    </row>
    <row r="69" ht="15" customHeight="1" s="65">
      <c r="A69" s="73" t="inlineStr">
        <is>
          <t>Regression vs Phase 3 (C-23): 11/11 pass across S1-S8 at 25/40 C; max differences Tcell 0.001 K, Tsup 0.0013 K, SOC 0.0001, speed rms 0.016 mph. Open items list: native/OPEN_ITEMS.md.</t>
        </is>
      </c>
    </row>
    <row r="71">
      <c r="A71" s="110" t="inlineStr">
        <is>
          <t>Model Rev C drivetrain update (2026-10-16; loco_system_params.m options, defaults on the poc baseline; phase2 frozen)</t>
        </is>
      </c>
    </row>
    <row r="72">
      <c r="A72" s="110" t="inlineStr">
        <is>
          <t>Item</t>
        </is>
      </c>
      <c r="B72" s="110" t="inlineStr">
        <is>
          <t>Before (Rev B)</t>
        </is>
      </c>
      <c r="C72" s="110" t="inlineStr">
        <is>
          <t>Rev C</t>
        </is>
      </c>
      <c r="D72" s="110" t="inlineStr">
        <is>
          <t>Source</t>
        </is>
      </c>
      <c r="E72" s="110" t="inlineStr">
        <is>
          <t>Option</t>
        </is>
      </c>
    </row>
    <row r="73">
      <c r="A73" s="64" t="inlineStr">
        <is>
          <t>Wheel diameter</t>
        </is>
      </c>
      <c r="B73" s="64" t="inlineStr">
        <is>
          <t>40 in</t>
        </is>
      </c>
      <c r="C73" s="64" t="inlineStr">
        <is>
          <t>42 in (to confirm)</t>
        </is>
      </c>
      <c r="D73" s="64" t="inlineStr">
        <is>
          <t>Jonathan 2026-10-15</t>
        </is>
      </c>
      <c r="E73" s="64" t="inlineStr">
        <is>
          <t>wheel_in</t>
        </is>
      </c>
    </row>
    <row r="74">
      <c r="A74" s="64" t="inlineStr">
        <is>
          <t>D77 flux Kphi(I)</t>
        </is>
      </c>
      <c r="B74" s="64" t="inlineStr">
        <is>
          <t>9.0(1-exp(-I/600)); 10-26% low below 600 A</t>
        </is>
      </c>
      <c r="C74" s="64" t="inlineStr">
        <is>
          <t>Table, Kphi = 9.488 I/(299+I); within 1% at 300-1100 A</t>
        </is>
      </c>
      <c r="D74" s="64" t="inlineStr">
        <is>
          <t>reference/D77-D78.pdf (40 in, 62:15)</t>
        </is>
      </c>
      <c r="E74" s="64" t="inlineStr">
        <is>
          <t>motor_flux = d77_chart | legacy</t>
        </is>
      </c>
    </row>
    <row r="75">
      <c r="A75" s="64" t="inlineStr">
        <is>
          <t>D77 current ratings</t>
        </is>
      </c>
      <c r="B75" s="64" t="inlineStr">
        <is>
          <t>I_max 1500 A only</t>
        </is>
      </c>
      <c r="C75" s="64" t="inlineStr">
        <is>
          <t>1050 A cont / 1150 A 15 min / 1500 A 5 min recorded (not enforced)</t>
        </is>
      </c>
      <c r="D75" s="64" t="inlineStr">
        <is>
          <t>D77-D78.pdf</t>
        </is>
      </c>
      <c r="E75" s="64" t="inlineStr">
        <is>
          <t>P.ax.I_cont, I_15min, I_5min</t>
        </is>
      </c>
    </row>
    <row r="76">
      <c r="A76" s="64" t="inlineStr">
        <is>
          <t>Chopper loss</t>
        </is>
      </c>
      <c r="B76" s="64" t="inlineStr">
        <is>
          <t>5.25 kW at 1050 A (deck)</t>
        </is>
      </c>
      <c r="C76" s="64" t="inlineStr">
        <is>
          <t>2.47 kW at 1170 A, 500 Hz (switching 1.58 + conduction 0.90 kW)</t>
        </is>
      </c>
      <c r="D76" s="64" t="inlineStr">
        <is>
          <t>Integral sim, J. Jankowski 2026-10-15</t>
        </is>
      </c>
      <c r="E76" s="64" t="inlineStr">
        <is>
          <t>chop_loss = integral_sim | deck; chop_loss_scale</t>
        </is>
      </c>
    </row>
    <row r="77">
      <c r="A77" s="64" t="inlineStr">
        <is>
          <t>Motor power cap</t>
        </is>
      </c>
      <c r="B77" s="64" t="inlineStr">
        <is>
          <t>536 kW/motor (2.144 MW)</t>
        </is>
      </c>
      <c r="C77" s="64" t="inlineStr">
        <is>
          <t>536 kW default; 373 kW (500 hp) option</t>
        </is>
      </c>
      <c r="D77" s="64" t="inlineStr">
        <is>
          <t>FRA rating / Jonathan</t>
        </is>
      </c>
      <c r="E77" s="64" t="inlineStr">
        <is>
          <t>motor_cap_kW</t>
        </is>
      </c>
    </row>
    <row r="78">
      <c r="A78" s="64" t="inlineStr">
        <is>
          <t>Control latency</t>
        </is>
      </c>
      <c r="B78" s="64" t="inlineStr">
        <is>
          <t>-</t>
        </is>
      </c>
      <c r="C78" s="64" t="inlineStr">
        <is>
          <t>~22 ms worst case; not modeled (1 s control step)</t>
        </is>
      </c>
      <c r="D78" s="64" t="inlineStr">
        <is>
          <t>Integral</t>
        </is>
      </c>
      <c r="E78" s="64" t="inlineStr">
        <is>
          <t>P.sys.ctrl_latency_s</t>
        </is>
      </c>
    </row>
    <row r="79">
      <c r="A79" s="64" t="inlineStr">
        <is>
          <t>Charger (AUX-B002)</t>
        </is>
      </c>
      <c r="B79" s="64" t="inlineStr">
        <is>
          <t>99.34%, 3.6 kW/K</t>
        </is>
      </c>
      <c r="C79" s="64" t="inlineStr">
        <is>
          <t>Unchanged; 55 C inlet limit confirmed; ~21 kW at 3 MW; ~14 kW at the 2.1 MW demo limit</t>
        </is>
      </c>
      <c r="D79" s="64" t="inlineStr">
        <is>
          <t>Integral</t>
        </is>
      </c>
      <c r="E79" s="64" t="inlineStr">
        <is>
          <t>P.sys.chg_inlet_max_C</t>
        </is>
      </c>
    </row>
    <row r="80">
      <c r="A80" s="64" t="inlineStr">
        <is>
          <t>Report verdict</t>
        </is>
      </c>
      <c r="B80" s="64" t="inlineStr">
        <is>
          <t>Speed check forced on</t>
        </is>
      </c>
      <c r="C80" s="64" t="inlineStr">
        <is>
          <t>Follows scenario definition (S6 off)</t>
        </is>
      </c>
      <c r="D80" s="64" t="inlineStr">
        <is>
          <t>report_loco_run.m</t>
        </is>
      </c>
      <c r="E80" s="64" t="inlineStr">
        <is>
          <t>-</t>
        </is>
      </c>
    </row>
    <row r="81">
      <c r="A81" s="64" t="inlineStr">
        <is>
          <t>Solver output</t>
        </is>
      </c>
      <c r="B81" s="64" t="inlineStr">
        <is>
          <t>Every warning printed</t>
        </is>
      </c>
      <c r="C81" s="64" t="inlineStr">
        <is>
          <t>One-line summary; text in RUN.sim_log</t>
        </is>
      </c>
      <c r="D81" s="64" t="inlineStr">
        <is>
          <t>run_loco_system.m</t>
        </is>
      </c>
      <c r="E81" s="64" t="inlineStr">
        <is>
          <t>ShowWarnings</t>
        </is>
      </c>
    </row>
    <row r="83">
      <c r="A83" s="110" t="inlineStr">
        <is>
          <t>CSX4091 yard trace (Aug 26-27, 25.5 h, 27 C, regen off, Rev B tonnage)</t>
        </is>
      </c>
    </row>
    <row r="84">
      <c r="A84" s="110" t="inlineStr">
        <is>
          <t>Metric</t>
        </is>
      </c>
      <c r="B84" s="110" t="inlineStr">
        <is>
          <t>Legacy settings</t>
        </is>
      </c>
      <c r="C84" s="110" t="inlineStr">
        <is>
          <t>Rev C</t>
        </is>
      </c>
      <c r="D84" s="110" t="inlineStr">
        <is>
          <t>Change</t>
        </is>
      </c>
    </row>
    <row r="85">
      <c r="A85" s="64" t="inlineStr">
        <is>
          <t>Battery out (kWh)</t>
        </is>
      </c>
      <c r="B85" s="64" t="n">
        <v>841</v>
      </c>
      <c r="C85" s="64" t="n">
        <v>812</v>
      </c>
      <c r="D85" s="64" t="inlineStr">
        <is>
          <t>-29 (-3.4%)</t>
        </is>
      </c>
    </row>
    <row r="86">
      <c r="A86" s="64" t="inlineStr">
        <is>
          <t>Drivetrain energy = out - TMS - aux (kWh)</t>
        </is>
      </c>
      <c r="B86" s="64" t="n">
        <v>536</v>
      </c>
      <c r="C86" s="64" t="n">
        <v>514</v>
      </c>
      <c r="D86" s="64" t="inlineStr">
        <is>
          <t>-22 (-4.1%)</t>
        </is>
      </c>
    </row>
    <row r="87">
      <c r="A87" s="64" t="inlineStr">
        <is>
          <t>TMS energy (kWh)</t>
        </is>
      </c>
      <c r="B87" s="64" t="n">
        <v>96</v>
      </c>
      <c r="C87" s="64" t="n">
        <v>89</v>
      </c>
      <c r="D87" s="64" t="inlineStr">
        <is>
          <t>-7</t>
        </is>
      </c>
    </row>
    <row r="88">
      <c r="A88" s="64" t="inlineStr">
        <is>
          <t>Aux budget (kWh)</t>
        </is>
      </c>
      <c r="B88" s="64" t="n">
        <v>209</v>
      </c>
      <c r="C88" s="64" t="n">
        <v>209</v>
      </c>
      <c r="D88" s="64" t="inlineStr">
        <is>
          <t>0</t>
        </is>
      </c>
    </row>
    <row r="89">
      <c r="A89" s="64" t="inlineStr">
        <is>
          <t>SOC end (start 90%)</t>
        </is>
      </c>
      <c r="B89" s="64" t="inlineStr">
        <is>
          <t>73.9%</t>
        </is>
      </c>
      <c r="C89" s="64" t="inlineStr">
        <is>
          <t>74.4%</t>
        </is>
      </c>
      <c r="D89" s="64" t="inlineStr">
        <is>
          <t>+0.5 pt</t>
        </is>
      </c>
    </row>
    <row r="90">
      <c r="A90" s="64" t="inlineStr">
        <is>
          <t>Peak cell (C)</t>
        </is>
      </c>
      <c r="B90" s="64" t="n">
        <v>28</v>
      </c>
      <c r="C90" s="64" t="n">
        <v>27.2</v>
      </c>
      <c r="D90" s="64" t="inlineStr">
        <is>
          <t>chiller-on threshold 28 C</t>
        </is>
      </c>
    </row>
    <row r="91">
      <c r="A91" s="64" t="inlineStr">
        <is>
          <t>Peak condenser (C)</t>
        </is>
      </c>
      <c r="B91" s="64" t="n">
        <v>58.5</v>
      </c>
      <c r="C91" s="64" t="n">
        <v>36.1</v>
      </c>
      <c r="D91" s="64" t="inlineStr">
        <is>
          <t>chiller ran on legacy only</t>
        </is>
      </c>
    </row>
    <row r="92">
      <c r="A92" s="64" t="inlineStr">
        <is>
          <t>Peak motor (C)</t>
        </is>
      </c>
      <c r="B92" s="64" t="n">
        <v>44.2</v>
      </c>
      <c r="C92" s="64" t="n">
        <v>44.6</v>
      </c>
      <c r="D92" s="64" t="inlineStr">
        <is>
          <t>~same</t>
        </is>
      </c>
    </row>
    <row r="93">
      <c r="A93" s="64" t="inlineStr">
        <is>
          <t>Verdict</t>
        </is>
      </c>
      <c r="B93" s="64" t="inlineStr">
        <is>
          <t>OPTIMAL</t>
        </is>
      </c>
      <c r="C93" s="64" t="inlineStr">
        <is>
          <t>OPTIMAL</t>
        </is>
      </c>
      <c r="D93" s="64" t="inlineStr">
        <is>
          <t>-</t>
        </is>
      </c>
    </row>
    <row r="94">
      <c r="A94" s="64" t="inlineStr">
        <is>
          <t>Diesel recorder rail energy (kWh)</t>
        </is>
      </c>
      <c r="B94" s="64" t="n">
        <v>331</v>
      </c>
      <c r="C94" s="64" t="n">
        <v>331</v>
      </c>
      <c r="D94" s="64" t="inlineStr">
        <is>
          <t>Model wheel (motoring) 369.1 kWh = 1.11 x recorder; battery-to-wheel 45.4% day / 59.5% motoring (C-26, v1.4; was ~64%, which was drivetrain/battery out)</t>
        </is>
      </c>
    </row>
    <row r="95">
      <c r="A95" s="64" t="inlineStr">
        <is>
          <t>Friction brake energy (kWh)</t>
        </is>
      </c>
      <c r="B95" s="64" t="inlineStr">
        <is>
          <t>-</t>
        </is>
      </c>
      <c r="C95" s="64" t="n">
        <v>181.6</v>
      </c>
      <c r="D95" s="64" t="inlineStr">
        <is>
          <t>no regen (RSK-NEW-51); 49% of wheel energy (v1.4 decomposition)</t>
        </is>
      </c>
    </row>
    <row r="96">
      <c r="A96" s="64" t="inlineStr">
        <is>
          <t>Solver warnings</t>
        </is>
      </c>
      <c r="B96" s="64" t="inlineStr">
        <is>
          <t>32,471</t>
        </is>
      </c>
      <c r="C96" s="64" t="inlineStr">
        <is>
          <t>not counted (pre-summary run)</t>
        </is>
      </c>
      <c r="D96" s="64" t="inlineStr">
        <is>
          <t>RSK-NEW-40</t>
        </is>
      </c>
    </row>
    <row r="98">
      <c r="A98" s="110" t="inlineStr">
        <is>
          <t>Notch 8 balancing speed, LC-3 3,640 t on 0.5% (check_notch8_balance.m)</t>
        </is>
      </c>
    </row>
    <row r="99">
      <c r="A99" s="110" t="inlineStr">
        <is>
          <t>Traction cap</t>
        </is>
      </c>
      <c r="B99" s="110" t="inlineStr">
        <is>
          <t>Total power (MW)</t>
        </is>
      </c>
      <c r="C99" s="110" t="inlineStr">
        <is>
          <t>Balancing speed (mph)</t>
        </is>
      </c>
      <c r="D99" s="110" t="inlineStr">
        <is>
          <t>Power for 30 mph (MW)</t>
        </is>
      </c>
    </row>
    <row r="100">
      <c r="A100" s="64" t="inlineStr">
        <is>
          <t>536 kW/motor (D77 FRA)</t>
        </is>
      </c>
      <c r="B100" s="64" t="n">
        <v>2.144</v>
      </c>
      <c r="C100" s="64" t="n">
        <v>20.4</v>
      </c>
      <c r="D100" s="64" t="n">
        <v>3.17</v>
      </c>
    </row>
    <row r="101">
      <c r="A101" s="64" t="inlineStr">
        <is>
          <t>373 kW/motor (500 hp)</t>
        </is>
      </c>
      <c r="B101" s="64" t="n">
        <v>1.492</v>
      </c>
      <c r="C101" s="64" t="n">
        <v>14.2</v>
      </c>
      <c r="D101" s="64" t="n">
        <v>3.17</v>
      </c>
    </row>
    <row r="102">
      <c r="A102" s="64" t="inlineStr">
        <is>
          <t>Phase 2 regression (2026-10-16): 73/80; all 7 misses are S6 verdict labels (speed check), physics deltas &lt; 0.003 K and &lt; 1e-5 SOC; report fixed.</t>
        </is>
      </c>
    </row>
    <row r="104">
      <c r="A104" s="110" t="inlineStr">
        <is>
          <t>v1.3: demo charge limit 2.1 MW / 1,666 A (DR-17) is in loco_system_params.m (P.sys.demo_chg_P_max_W, demo_chg_I_wire_max_A); traces/S9_dyncharge_2p1MW_demo.csv; report flags any charge request above it. S3/S4 kept as bounding cases.</t>
        </is>
      </c>
    </row>
    <row r="106">
      <c r="A106" s="110" t="inlineStr">
        <is>
          <t>CSX4091 energy decomposition (decompose_csx4091.m, results_csx4091_20261016_0823.mat, Rev C, regen off) — v1.4</t>
        </is>
      </c>
    </row>
    <row r="107">
      <c r="A107" s="110" t="inlineStr">
        <is>
          <t>Item</t>
        </is>
      </c>
      <c r="B107" s="110" t="inlineStr">
        <is>
          <t>peak2h (2.0 h)</t>
        </is>
      </c>
      <c r="C107" s="110" t="inlineStr">
        <is>
          <t>yard (25.5 h)</t>
        </is>
      </c>
      <c r="D107" s="110" t="inlineStr">
        <is>
          <t>Note</t>
        </is>
      </c>
    </row>
    <row r="108">
      <c r="A108" s="64" t="inlineStr">
        <is>
          <t>Battery chemical out (kWh)</t>
        </is>
      </c>
      <c r="B108" s="64" t="n">
        <v>159.4</v>
      </c>
      <c r="C108" s="64" t="n">
        <v>813</v>
      </c>
      <c r="D108" s="64" t="inlineStr">
        <is>
          <t>terminal + I2R; no charging in trace</t>
        </is>
      </c>
    </row>
    <row r="109">
      <c r="A109" s="64" t="inlineStr">
        <is>
          <t>Battery I2R (kWh)</t>
        </is>
      </c>
      <c r="B109" s="64" t="n">
        <v>0.2</v>
      </c>
      <c r="C109" s="64" t="n">
        <v>0.5</v>
      </c>
      <c r="D109" s="64" t="inlineStr"/>
    </row>
    <row r="110">
      <c r="A110" s="64" t="inlineStr">
        <is>
          <t>Aux loads, budget (kWh)</t>
        </is>
      </c>
      <c r="B110" s="64" t="n">
        <v>23.1</v>
      </c>
      <c r="C110" s="64" t="n">
        <v>209</v>
      </c>
      <c r="D110" s="64" t="inlineStr">
        <is>
          <t>Micah POC Power Budget (load_budget.csv)</t>
        </is>
      </c>
    </row>
    <row r="111">
      <c r="A111" s="64" t="inlineStr">
        <is>
          <t>TMS (kWh)</t>
        </is>
      </c>
      <c r="B111" s="64" t="n">
        <v>6.9</v>
      </c>
      <c r="C111" s="64" t="n">
        <v>88.7</v>
      </c>
      <c r="D111" s="64" t="inlineStr"/>
    </row>
    <row r="112">
      <c r="A112" s="64" t="inlineStr">
        <is>
          <t>Aux converter loss (kWh)</t>
        </is>
      </c>
      <c r="B112" s="64" t="n">
        <v>1.3</v>
      </c>
      <c r="C112" s="64" t="n">
        <v>12.4</v>
      </c>
      <c r="D112" s="64" t="inlineStr">
        <is>
          <t>eta 0.96</t>
        </is>
      </c>
    </row>
    <row r="113">
      <c r="A113" s="64" t="inlineStr">
        <is>
          <t>DC-link / precharge (kWh)</t>
        </is>
      </c>
      <c r="B113" s="64" t="n">
        <v>0</v>
      </c>
      <c r="C113" s="64" t="n">
        <v>0</v>
      </c>
      <c r="D113" s="64" t="inlineStr"/>
    </row>
    <row r="114">
      <c r="A114" s="64" t="inlineStr">
        <is>
          <t>Chopper loss (kWh)</t>
        </is>
      </c>
      <c r="B114" s="64" t="n">
        <v>2.7</v>
      </c>
      <c r="C114" s="64" t="n">
        <v>11.4</v>
      </c>
      <c r="D114" s="64" t="inlineStr">
        <is>
          <t>Integral sim basis (confirmed from signals; deck basis would be 5.9 / 22.7)</t>
        </is>
      </c>
    </row>
    <row r="115">
      <c r="A115" s="64" t="inlineStr">
        <is>
          <t>Motor copper loss (kWh)</t>
        </is>
      </c>
      <c r="B115" s="64" t="n">
        <v>36.8</v>
      </c>
      <c r="C115" s="64" t="n">
        <v>110.5</v>
      </c>
      <c r="D115" s="64" t="inlineStr">
        <is>
          <t>R_m 0.035 ohm, source unverified (RSK-NEW-54); no iron/brush loss</t>
        </is>
      </c>
    </row>
    <row r="116">
      <c r="A116" s="64" t="inlineStr">
        <is>
          <t>Gear loss (kWh)</t>
        </is>
      </c>
      <c r="B116" s="64" t="n">
        <v>2.6</v>
      </c>
      <c r="C116" s="64" t="n">
        <v>11.4</v>
      </c>
      <c r="D116" s="64" t="inlineStr">
        <is>
          <t>eta_g 0.97</t>
        </is>
      </c>
    </row>
    <row r="117">
      <c r="A117" s="64" t="inlineStr">
        <is>
          <t>Closure residual (kWh)</t>
        </is>
      </c>
      <c r="B117" s="64" t="n">
        <v>0</v>
      </c>
      <c r="C117" s="64" t="n">
        <v>0</v>
      </c>
      <c r="D117" s="64" t="inlineStr">
        <is>
          <t>L and C storage</t>
        </is>
      </c>
    </row>
    <row r="118">
      <c r="A118" s="64" t="inlineStr">
        <is>
          <t>Wheel energy (kWh)</t>
        </is>
      </c>
      <c r="B118" s="64" t="n">
        <v>85.7</v>
      </c>
      <c r="C118" s="64" t="n">
        <v>369.1</v>
      </c>
      <c r="D118" s="64" t="inlineStr">
        <is>
          <t>all motoring; regen off</t>
        </is>
      </c>
    </row>
    <row r="119">
      <c r="A119" s="64" t="inlineStr">
        <is>
          <t xml:space="preserve">  of which rolling (kWh)</t>
        </is>
      </c>
      <c r="B119" s="64" t="n">
        <v>49.8</v>
      </c>
      <c r="C119" s="64" t="n">
        <v>194.4</v>
      </c>
      <c r="D119" s="64" t="inlineStr">
        <is>
          <t>Crr 0.002</t>
        </is>
      </c>
    </row>
    <row r="120">
      <c r="A120" s="64" t="inlineStr">
        <is>
          <t xml:space="preserve">  of which friction brake (kWh)</t>
        </is>
      </c>
      <c r="B120" s="64" t="n">
        <v>38.7</v>
      </c>
      <c r="C120" s="64" t="n">
        <v>181.6</v>
      </c>
      <c r="D120" s="64" t="inlineStr">
        <is>
          <t>RSK-NEW-51</t>
        </is>
      </c>
    </row>
    <row r="121">
      <c r="A121" s="64" t="inlineStr">
        <is>
          <t xml:space="preserve">  of which grade (kWh)</t>
        </is>
      </c>
      <c r="B121" s="64" t="n">
        <v>-3.9</v>
      </c>
      <c r="C121" s="64" t="n">
        <v>-8</v>
      </c>
      <c r="D121" s="64" t="inlineStr"/>
    </row>
    <row r="122">
      <c r="A122" s="64" t="inlineStr">
        <is>
          <t xml:space="preserve">  of which aero / kinetic (kWh)</t>
        </is>
      </c>
      <c r="B122" s="64" t="n">
        <v>1.1</v>
      </c>
      <c r="C122" s="64" t="n">
        <v>1.1</v>
      </c>
      <c r="D122" s="64" t="inlineStr"/>
    </row>
    <row r="123">
      <c r="A123" s="64" t="inlineStr">
        <is>
          <t>Recorder rail energy (kWh)</t>
        </is>
      </c>
      <c r="B123" s="64" t="n">
        <v>78.40000000000001</v>
      </c>
      <c r="C123" s="64" t="n">
        <v>331.1</v>
      </c>
      <c r="D123" s="64" t="inlineStr">
        <is>
          <t>diesel SD event recorder</t>
        </is>
      </c>
    </row>
    <row r="124">
      <c r="A124" s="64" t="inlineStr">
        <is>
          <t>Model wheel / recorder rail</t>
        </is>
      </c>
      <c r="B124" s="64" t="n">
        <v>1.09</v>
      </c>
      <c r="C124" s="64" t="n">
        <v>1.11</v>
      </c>
      <c r="D124" s="64" t="inlineStr">
        <is>
          <t>RSK-NEW-56</t>
        </is>
      </c>
    </row>
    <row r="125">
      <c r="A125" s="64" t="inlineStr">
        <is>
          <t>Battery kWh per recorder rail kWh</t>
        </is>
      </c>
      <c r="B125" s="64" t="n">
        <v>2.03</v>
      </c>
      <c r="C125" s="64" t="n">
        <v>2.46</v>
      </c>
      <c r="D125" s="64" t="inlineStr"/>
    </row>
    <row r="126">
      <c r="A126" s="64" t="inlineStr">
        <is>
          <t>Motoring time (h / %)</t>
        </is>
      </c>
      <c r="B126" s="64" t="inlineStr">
        <is>
          <t>0.65 / 32%</t>
        </is>
      </c>
      <c r="C126" s="64" t="inlineStr">
        <is>
          <t>5.42 / 21%</t>
        </is>
      </c>
      <c r="D126" s="64" t="inlineStr"/>
    </row>
    <row r="127">
      <c r="A127" s="64" t="inlineStr">
        <is>
          <t>Standstill time (h / %)</t>
        </is>
      </c>
      <c r="B127" s="64" t="inlineStr">
        <is>
          <t>0.89 / 44%</t>
        </is>
      </c>
      <c r="C127" s="64" t="inlineStr">
        <is>
          <t>16.74 / 66%</t>
        </is>
      </c>
      <c r="D127" s="64" t="inlineStr">
        <is>
          <t>RSK-NEW-55</t>
        </is>
      </c>
    </row>
    <row r="128">
      <c r="A128" s="64" t="inlineStr">
        <is>
          <t>Battery energy at standstill (kWh)</t>
        </is>
      </c>
      <c r="B128" s="64" t="n">
        <v>7.5</v>
      </c>
      <c r="C128" s="64" t="n">
        <v>122.8</v>
      </c>
      <c r="D128" s="64" t="inlineStr">
        <is>
          <t>all aux bus</t>
        </is>
      </c>
    </row>
    <row r="129">
      <c r="A129" s="64" t="inlineStr">
        <is>
          <t>Efficiency while motoring: chopper / motor / gear</t>
        </is>
      </c>
      <c r="B129" s="64" t="inlineStr">
        <is>
          <t>97.9 / 70.5 / 97.0 %</t>
        </is>
      </c>
      <c r="C129" s="64" t="inlineStr">
        <is>
          <t>97.7 / 77.4 / 97.0 %</t>
        </is>
      </c>
      <c r="D129" s="64" t="inlineStr">
        <is>
          <t>motor low at yard speeds: high current, low back-EMF</t>
        </is>
      </c>
    </row>
    <row r="130">
      <c r="A130" s="64" t="inlineStr">
        <is>
          <t>Battery-to-wheel: motoring / whole day</t>
        </is>
      </c>
      <c r="B130" s="64" t="inlineStr">
        <is>
          <t>60.3 / 53.8 %</t>
        </is>
      </c>
      <c r="C130" s="64" t="inlineStr">
        <is>
          <t>59.5 / 45.4 %</t>
        </is>
      </c>
      <c r="D130" s="6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U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64" min="1" max="1"/>
    <col width="8" customWidth="1" style="64" min="2" max="2"/>
    <col width="10" customWidth="1" style="64" min="3" max="5"/>
    <col width="3" customWidth="1" style="64" min="6" max="6"/>
    <col width="12" customWidth="1" style="64" min="7" max="9"/>
    <col width="52" customWidth="1" style="64" min="10" max="10"/>
    <col width="36" customWidth="1" style="64" min="11" max="11"/>
    <col width="60" customWidth="1" style="64" min="21" max="21"/>
  </cols>
  <sheetData>
    <row r="1" ht="15" customHeight="1" s="65">
      <c r="A1" s="75" t="inlineStr">
        <is>
          <t>Phase 3 fault sweep on the POC Power Budget baseline with the PE loop update (run_fault_sweep, 2026-10-10): 20 faults + baseline x 20/40/45 C, traces/fault_test_3h.csv, fault onset 0.5 h, pack preconditioned 25 C</t>
        </is>
      </c>
    </row>
    <row r="2" ht="15" customHeight="1" s="65">
      <c r="A2" s="73" t="inlineStr">
        <is>
          <t>Left: verdict. Right: effect relative to the no-fault baseline at the same ambient (WORSE = new limit, lower verdict or first limit &gt;0.25 h earlier; WATCH = large rise without a limit; MASKED = passes only because cooling ran less; TRADE-OFF = passes at a functional cost; BY-DESIGN = designed stop).</t>
        </is>
      </c>
    </row>
    <row r="4" ht="15" customHeight="1" s="65">
      <c r="A4" s="70" t="inlineStr">
        <is>
          <t>Fault</t>
        </is>
      </c>
      <c r="B4" s="70" t="inlineStr">
        <is>
          <t>FMEA</t>
        </is>
      </c>
      <c r="C4" s="70" t="inlineStr">
        <is>
          <t>20 C</t>
        </is>
      </c>
      <c r="D4" s="70" t="inlineStr">
        <is>
          <t>40 C</t>
        </is>
      </c>
      <c r="E4" s="70" t="inlineStr">
        <is>
          <t>45 C</t>
        </is>
      </c>
      <c r="G4" s="70" t="inlineStr">
        <is>
          <t>20 C vs base</t>
        </is>
      </c>
      <c r="H4" s="70" t="inlineStr">
        <is>
          <t>40 C vs base</t>
        </is>
      </c>
      <c r="I4" s="70" t="inlineStr">
        <is>
          <t>45 C vs base</t>
        </is>
      </c>
      <c r="J4" s="70" t="inlineStr">
        <is>
          <t>First limit (hours after onset)</t>
        </is>
      </c>
      <c r="K4" s="70" t="inlineStr">
        <is>
          <t>Key delta vs baseline</t>
        </is>
      </c>
    </row>
    <row r="5" ht="23.25" customHeight="1" s="65">
      <c r="A5" s="99" t="inlineStr">
        <is>
          <t>PE_PUMP_FAIL</t>
        </is>
      </c>
      <c r="B5" s="99" t="inlineStr">
        <is>
          <t>F54</t>
        </is>
      </c>
      <c r="C5" s="102" t="inlineStr">
        <is>
          <t>FAIL</t>
        </is>
      </c>
      <c r="D5" s="102" t="inlineStr">
        <is>
          <t>FAIL</t>
        </is>
      </c>
      <c r="E5" s="102" t="inlineStr">
        <is>
          <t>FAIL</t>
        </is>
      </c>
      <c r="G5" s="111" t="inlineStr">
        <is>
          <t>WORSE</t>
        </is>
      </c>
      <c r="H5" s="111" t="inlineStr">
        <is>
          <t>WORSE</t>
        </is>
      </c>
      <c r="I5" s="111" t="inlineStr">
        <is>
          <t>WORSE</t>
        </is>
      </c>
      <c r="J5" s="71" t="inlineStr">
        <is>
          <t>20 C: chopper fluid &gt; limit @ 0.00 h; 40 C: chopper fluid &gt; limit @ 0.00 h; 45 C: chopper fluid &gt; limit @ 0.00 h</t>
        </is>
      </c>
      <c r="K5" s="71" t="inlineStr">
        <is>
          <t>40 C: chopper +97.5 K, inverter +3.1 K</t>
        </is>
      </c>
    </row>
    <row r="6" ht="23.25" customHeight="1" s="65">
      <c r="A6" s="99" t="inlineStr">
        <is>
          <t>BTMS_24V_PS_TRIP</t>
        </is>
      </c>
      <c r="B6" s="99" t="inlineStr">
        <is>
          <t>F61</t>
        </is>
      </c>
      <c r="C6" s="102" t="inlineStr">
        <is>
          <t>FAIL</t>
        </is>
      </c>
      <c r="D6" s="102" t="inlineStr">
        <is>
          <t>FAIL</t>
        </is>
      </c>
      <c r="E6" s="102" t="inlineStr">
        <is>
          <t>FAIL</t>
        </is>
      </c>
      <c r="G6" s="111" t="inlineStr">
        <is>
          <t>WORSE</t>
        </is>
      </c>
      <c r="H6" s="111" t="inlineStr">
        <is>
          <t>WORSE</t>
        </is>
      </c>
      <c r="I6" s="111" t="inlineStr">
        <is>
          <t>WORSE</t>
        </is>
      </c>
      <c r="J6" s="71" t="inlineStr">
        <is>
          <t>20 C: chopper fluid &gt; limit @ 0.00 h; 40 C: chopper fluid &gt; limit @ 0.00 h; 45 C: chopper fluid &gt; limit @ 0.00 h</t>
        </is>
      </c>
      <c r="K6" s="71" t="inlineStr">
        <is>
          <t>40 C: chopper +97.6 K, inverter +3.1 K</t>
        </is>
      </c>
    </row>
    <row r="7" ht="23.25" customHeight="1" s="65">
      <c r="A7" s="99" t="inlineStr">
        <is>
          <t>PE_FAN_FAIL</t>
        </is>
      </c>
      <c r="B7" s="99" t="inlineStr">
        <is>
          <t>F54</t>
        </is>
      </c>
      <c r="C7" s="100" t="inlineStr">
        <is>
          <t>OPTIMAL</t>
        </is>
      </c>
      <c r="D7" s="102" t="inlineStr">
        <is>
          <t>FAIL</t>
        </is>
      </c>
      <c r="E7" s="102" t="inlineStr">
        <is>
          <t>FAIL</t>
        </is>
      </c>
      <c r="G7" s="112" t="inlineStr">
        <is>
          <t>WATCH</t>
        </is>
      </c>
      <c r="H7" s="111" t="inlineStr">
        <is>
          <t>WORSE</t>
        </is>
      </c>
      <c r="I7" s="111" t="inlineStr">
        <is>
          <t>WORSE</t>
        </is>
      </c>
      <c r="J7" s="71" t="inlineStr">
        <is>
          <t>40 C: chopper fluid &gt; limit @ 0.23 h; 45 C: chopper fluid &gt; limit @ 0.16 h</t>
        </is>
      </c>
      <c r="K7" s="71" t="inlineStr">
        <is>
          <t>40 C: chopper +24.7 K, inverter +24.6 K</t>
        </is>
      </c>
    </row>
    <row r="8" ht="15" customHeight="1" s="65">
      <c r="A8" s="99" t="inlineStr">
        <is>
          <t>TSENSE_HIGH_5K</t>
        </is>
      </c>
      <c r="B8" s="99" t="inlineStr">
        <is>
          <t>F46</t>
        </is>
      </c>
      <c r="C8" s="100" t="inlineStr">
        <is>
          <t>OPTIMAL</t>
        </is>
      </c>
      <c r="D8" s="101" t="inlineStr">
        <is>
          <t>OK</t>
        </is>
      </c>
      <c r="E8" s="102" t="inlineStr">
        <is>
          <t>FAIL</t>
        </is>
      </c>
      <c r="G8" s="113" t="inlineStr">
        <is>
          <t>SAME</t>
        </is>
      </c>
      <c r="H8" s="111" t="inlineStr">
        <is>
          <t>WORSE</t>
        </is>
      </c>
      <c r="I8" s="111" t="inlineStr">
        <is>
          <t>WORSE</t>
        </is>
      </c>
      <c r="J8" s="71" t="inlineStr">
        <is>
          <t>45 C: condenser loop &gt; limit @ 0.06 h</t>
        </is>
      </c>
      <c r="K8" s="71" t="inlineStr">
        <is>
          <t>40 C: inverter +1.0 K, cell -2.5 K</t>
        </is>
      </c>
    </row>
    <row r="9" ht="23.25" customHeight="1" s="65">
      <c r="A9" s="99" t="inlineStr">
        <is>
          <t>AXLE4_CUTOUT</t>
        </is>
      </c>
      <c r="B9" s="99" t="inlineStr">
        <is>
          <t>F50</t>
        </is>
      </c>
      <c r="C9" s="114" t="inlineStr">
        <is>
          <t>DERATED</t>
        </is>
      </c>
      <c r="D9" s="114" t="inlineStr">
        <is>
          <t>DERATED</t>
        </is>
      </c>
      <c r="E9" s="114" t="inlineStr">
        <is>
          <t>DERATED</t>
        </is>
      </c>
      <c r="G9" s="111" t="inlineStr">
        <is>
          <t>WORSE</t>
        </is>
      </c>
      <c r="H9" s="111" t="inlineStr">
        <is>
          <t>WORSE</t>
        </is>
      </c>
      <c r="I9" s="111" t="inlineStr">
        <is>
          <t>WORSE</t>
        </is>
      </c>
      <c r="J9" s="71" t="inlineStr">
        <is>
          <t>20 C: speed deficit &gt; 1 mph @ 0.13 h; 40 C: speed deficit &gt; 1 mph @ 0.13 h; 45 C: speed deficit &gt; 1 mph @ 0.13 h</t>
        </is>
      </c>
      <c r="K9" s="71" t="inlineStr">
        <is>
          <t>40 C: motor +19.8 K, SOC end +3 pts</t>
        </is>
      </c>
    </row>
    <row r="10" ht="15" customHeight="1" s="65">
      <c r="A10" s="99" t="inlineStr">
        <is>
          <t>BLOWER_FAIL</t>
        </is>
      </c>
      <c r="B10" s="99" t="inlineStr">
        <is>
          <t>F50</t>
        </is>
      </c>
      <c r="C10" s="100" t="inlineStr">
        <is>
          <t>OPTIMAL</t>
        </is>
      </c>
      <c r="D10" s="100" t="inlineStr">
        <is>
          <t>OPTIMAL</t>
        </is>
      </c>
      <c r="E10" s="102" t="inlineStr">
        <is>
          <t>FAIL</t>
        </is>
      </c>
      <c r="G10" s="112" t="inlineStr">
        <is>
          <t>WATCH</t>
        </is>
      </c>
      <c r="H10" s="112" t="inlineStr">
        <is>
          <t>WATCH</t>
        </is>
      </c>
      <c r="I10" s="112" t="inlineStr">
        <is>
          <t>WATCH</t>
        </is>
      </c>
      <c r="J10" s="71" t="inlineStr">
        <is>
          <t>45 C: condenser loop &gt; limit @ 2.08 h</t>
        </is>
      </c>
      <c r="K10" s="71" t="inlineStr">
        <is>
          <t>40 C: motor +49.3 K</t>
        </is>
      </c>
    </row>
    <row r="11" ht="15" customHeight="1" s="65">
      <c r="A11" s="99" t="inlineStr">
        <is>
          <t>AUX_DCDC_TRIP</t>
        </is>
      </c>
      <c r="B11" s="99" t="inlineStr">
        <is>
          <t>TBD</t>
        </is>
      </c>
      <c r="C11" s="100" t="inlineStr">
        <is>
          <t>OPTIMAL</t>
        </is>
      </c>
      <c r="D11" s="100" t="inlineStr">
        <is>
          <t>OPTIMAL</t>
        </is>
      </c>
      <c r="E11" s="100" t="inlineStr">
        <is>
          <t>OPTIMAL</t>
        </is>
      </c>
      <c r="G11" s="112" t="inlineStr">
        <is>
          <t>WATCH</t>
        </is>
      </c>
      <c r="H11" s="112" t="inlineStr">
        <is>
          <t>WATCH</t>
        </is>
      </c>
      <c r="I11" s="112" t="inlineStr">
        <is>
          <t>WATCH</t>
        </is>
      </c>
      <c r="J11" s="71" t="n"/>
      <c r="K11" s="71" t="inlineStr">
        <is>
          <t>40 C: motor +49.3 K</t>
        </is>
      </c>
    </row>
    <row r="12" ht="15" customHeight="1" s="65">
      <c r="A12" s="99" t="inlineStr">
        <is>
          <t>COND_FAN_FAIL</t>
        </is>
      </c>
      <c r="B12" s="99" t="inlineStr">
        <is>
          <t>F55</t>
        </is>
      </c>
      <c r="C12" s="100" t="inlineStr">
        <is>
          <t>OPTIMAL</t>
        </is>
      </c>
      <c r="D12" s="100" t="inlineStr">
        <is>
          <t>OPTIMAL</t>
        </is>
      </c>
      <c r="E12" s="102" t="inlineStr">
        <is>
          <t>FAIL</t>
        </is>
      </c>
      <c r="G12" s="113" t="inlineStr">
        <is>
          <t>SAME</t>
        </is>
      </c>
      <c r="H12" s="113" t="inlineStr">
        <is>
          <t>SAME</t>
        </is>
      </c>
      <c r="I12" s="113" t="inlineStr">
        <is>
          <t>SAME</t>
        </is>
      </c>
      <c r="J12" s="71" t="inlineStr">
        <is>
          <t>45 C: condenser loop &gt; limit @ 2.05 h</t>
        </is>
      </c>
      <c r="K12" s="71" t="inlineStr">
        <is>
          <t>40 C: no change</t>
        </is>
      </c>
    </row>
    <row r="13" ht="15" customHeight="1" s="65">
      <c r="A13" s="99" t="inlineStr">
        <is>
          <t>MTM_LOSS_1</t>
        </is>
      </c>
      <c r="B13" s="99" t="inlineStr">
        <is>
          <t>F55</t>
        </is>
      </c>
      <c r="C13" s="100" t="inlineStr">
        <is>
          <t>OPTIMAL</t>
        </is>
      </c>
      <c r="D13" s="100" t="inlineStr">
        <is>
          <t>OPTIMAL</t>
        </is>
      </c>
      <c r="E13" s="100" t="inlineStr">
        <is>
          <t>OPTIMAL</t>
        </is>
      </c>
      <c r="G13" s="113" t="inlineStr">
        <is>
          <t>SAME</t>
        </is>
      </c>
      <c r="H13" s="113" t="inlineStr">
        <is>
          <t>SAME</t>
        </is>
      </c>
      <c r="I13" s="115" t="inlineStr">
        <is>
          <t>MASKED</t>
        </is>
      </c>
      <c r="J13" s="71" t="n"/>
      <c r="K13" s="71" t="inlineStr">
        <is>
          <t>40 C: no change</t>
        </is>
      </c>
    </row>
    <row r="14" ht="15" customHeight="1" s="65">
      <c r="A14" s="99" t="inlineStr">
        <is>
          <t>MTM_LOSS_2</t>
        </is>
      </c>
      <c r="B14" s="99" t="inlineStr">
        <is>
          <t>F55</t>
        </is>
      </c>
      <c r="C14" s="100" t="inlineStr">
        <is>
          <t>OPTIMAL</t>
        </is>
      </c>
      <c r="D14" s="100" t="inlineStr">
        <is>
          <t>OPTIMAL</t>
        </is>
      </c>
      <c r="E14" s="100" t="inlineStr">
        <is>
          <t>OPTIMAL</t>
        </is>
      </c>
      <c r="G14" s="113" t="inlineStr">
        <is>
          <t>SAME</t>
        </is>
      </c>
      <c r="H14" s="113" t="inlineStr">
        <is>
          <t>SAME</t>
        </is>
      </c>
      <c r="I14" s="115" t="inlineStr">
        <is>
          <t>MASKED</t>
        </is>
      </c>
      <c r="J14" s="71" t="n"/>
      <c r="K14" s="71" t="inlineStr">
        <is>
          <t>40 C: no change</t>
        </is>
      </c>
    </row>
    <row r="15" ht="15" customHeight="1" s="65">
      <c r="A15" s="99" t="inlineStr">
        <is>
          <t>BTMS_12V_PS_TRIP</t>
        </is>
      </c>
      <c r="B15" s="99" t="inlineStr">
        <is>
          <t>F55</t>
        </is>
      </c>
      <c r="C15" s="100" t="inlineStr">
        <is>
          <t>OPTIMAL</t>
        </is>
      </c>
      <c r="D15" s="100" t="inlineStr">
        <is>
          <t>OPTIMAL</t>
        </is>
      </c>
      <c r="E15" s="100" t="inlineStr">
        <is>
          <t>OPTIMAL</t>
        </is>
      </c>
      <c r="G15" s="113" t="inlineStr">
        <is>
          <t>SAME</t>
        </is>
      </c>
      <c r="H15" s="113" t="inlineStr">
        <is>
          <t>SAME</t>
        </is>
      </c>
      <c r="I15" s="115" t="inlineStr">
        <is>
          <t>MASKED</t>
        </is>
      </c>
      <c r="J15" s="71" t="n"/>
      <c r="K15" s="71" t="inlineStr">
        <is>
          <t>40 C: no change</t>
        </is>
      </c>
    </row>
    <row r="16" ht="15" customHeight="1" s="65">
      <c r="A16" s="99" t="inlineStr">
        <is>
          <t>TSENSE_LOW_5K</t>
        </is>
      </c>
      <c r="B16" s="99" t="inlineStr">
        <is>
          <t>F46</t>
        </is>
      </c>
      <c r="C16" s="100" t="inlineStr">
        <is>
          <t>OPTIMAL</t>
        </is>
      </c>
      <c r="D16" s="100" t="inlineStr">
        <is>
          <t>OPTIMAL</t>
        </is>
      </c>
      <c r="E16" s="100" t="inlineStr">
        <is>
          <t>OPTIMAL</t>
        </is>
      </c>
      <c r="G16" s="113" t="inlineStr">
        <is>
          <t>SAME</t>
        </is>
      </c>
      <c r="H16" s="113" t="inlineStr">
        <is>
          <t>SAME</t>
        </is>
      </c>
      <c r="I16" s="115" t="inlineStr">
        <is>
          <t>MASKED</t>
        </is>
      </c>
      <c r="J16" s="71" t="n"/>
      <c r="K16" s="71" t="inlineStr">
        <is>
          <t>40 C: no change</t>
        </is>
      </c>
    </row>
    <row r="17" ht="15" customHeight="1" s="65">
      <c r="A17" s="99" t="inlineStr">
        <is>
          <t>BAT_PUMP_FAIL</t>
        </is>
      </c>
      <c r="B17" s="99" t="inlineStr">
        <is>
          <t>TBD</t>
        </is>
      </c>
      <c r="C17" s="100" t="inlineStr">
        <is>
          <t>OPTIMAL</t>
        </is>
      </c>
      <c r="D17" s="100" t="inlineStr">
        <is>
          <t>OPTIMAL</t>
        </is>
      </c>
      <c r="E17" s="102" t="inlineStr">
        <is>
          <t>FAIL</t>
        </is>
      </c>
      <c r="G17" s="113" t="inlineStr">
        <is>
          <t>SAME</t>
        </is>
      </c>
      <c r="H17" s="113" t="inlineStr">
        <is>
          <t>SAME</t>
        </is>
      </c>
      <c r="I17" s="113" t="inlineStr">
        <is>
          <t>SAME</t>
        </is>
      </c>
      <c r="J17" s="71" t="inlineStr">
        <is>
          <t>45 C: condenser loop &gt; limit @ 2.06 h</t>
        </is>
      </c>
      <c r="K17" s="71" t="inlineStr">
        <is>
          <t>40 C: no change</t>
        </is>
      </c>
    </row>
    <row r="18" ht="15" customHeight="1" s="65">
      <c r="A18" s="116" t="inlineStr">
        <is>
          <t>PE_PUMP_1OF3</t>
        </is>
      </c>
      <c r="B18" s="99" t="inlineStr">
        <is>
          <t>F54</t>
        </is>
      </c>
      <c r="C18" s="100" t="inlineStr">
        <is>
          <t>OPTIMAL</t>
        </is>
      </c>
      <c r="D18" s="100" t="inlineStr">
        <is>
          <t>OPTIMAL</t>
        </is>
      </c>
      <c r="E18" s="102" t="inlineStr">
        <is>
          <t>FAIL</t>
        </is>
      </c>
      <c r="G18" s="113" t="inlineStr">
        <is>
          <t>SAME</t>
        </is>
      </c>
      <c r="H18" s="113" t="inlineStr">
        <is>
          <t>SAME</t>
        </is>
      </c>
      <c r="I18" s="113" t="inlineStr">
        <is>
          <t>SAME</t>
        </is>
      </c>
      <c r="J18" s="71" t="inlineStr">
        <is>
          <t>45 C: condenser loop &gt; limit @ 2.08 h</t>
        </is>
      </c>
      <c r="K18" s="71" t="inlineStr">
        <is>
          <t>40 C: chopper +0.4 K, inverter +0.2 K</t>
        </is>
      </c>
    </row>
    <row r="19" ht="15" customHeight="1" s="65">
      <c r="A19" s="99" t="inlineStr">
        <is>
          <t>STRING_OPEN_1</t>
        </is>
      </c>
      <c r="B19" s="99" t="inlineStr">
        <is>
          <t>TBD</t>
        </is>
      </c>
      <c r="C19" s="100" t="inlineStr">
        <is>
          <t>OPTIMAL</t>
        </is>
      </c>
      <c r="D19" s="100" t="inlineStr">
        <is>
          <t>OPTIMAL</t>
        </is>
      </c>
      <c r="E19" s="102" t="inlineStr">
        <is>
          <t>FAIL</t>
        </is>
      </c>
      <c r="G19" s="113" t="inlineStr">
        <is>
          <t>SAME</t>
        </is>
      </c>
      <c r="H19" s="113" t="inlineStr">
        <is>
          <t>SAME</t>
        </is>
      </c>
      <c r="I19" s="113" t="inlineStr">
        <is>
          <t>SAME</t>
        </is>
      </c>
      <c r="J19" s="71" t="inlineStr">
        <is>
          <t>45 C: condenser loop &gt; limit @ 2.05 h</t>
        </is>
      </c>
      <c r="K19" s="71" t="inlineStr">
        <is>
          <t>40 C: no change</t>
        </is>
      </c>
    </row>
    <row r="20" ht="15" customHeight="1" s="65">
      <c r="A20" s="99" t="inlineStr">
        <is>
          <t>RACK_OPEN</t>
        </is>
      </c>
      <c r="B20" s="99" t="inlineStr">
        <is>
          <t>TBD</t>
        </is>
      </c>
      <c r="C20" s="100" t="inlineStr">
        <is>
          <t>OPTIMAL</t>
        </is>
      </c>
      <c r="D20" s="100" t="inlineStr">
        <is>
          <t>OPTIMAL</t>
        </is>
      </c>
      <c r="E20" s="102" t="inlineStr">
        <is>
          <t>FAIL</t>
        </is>
      </c>
      <c r="G20" s="113" t="inlineStr">
        <is>
          <t>SAME</t>
        </is>
      </c>
      <c r="H20" s="113" t="inlineStr">
        <is>
          <t>SAME</t>
        </is>
      </c>
      <c r="I20" s="113" t="inlineStr">
        <is>
          <t>SAME</t>
        </is>
      </c>
      <c r="J20" s="71" t="inlineStr">
        <is>
          <t>45 C: condenser loop &gt; limit @ 2.09 h</t>
        </is>
      </c>
      <c r="K20" s="71" t="inlineStr">
        <is>
          <t>40 C: SOC end -2 pts</t>
        </is>
      </c>
    </row>
    <row r="21" ht="23.25" customHeight="1" s="65">
      <c r="A21" s="99" t="inlineStr">
        <is>
          <t>CHARGER_DERATE_50</t>
        </is>
      </c>
      <c r="B21" s="99" t="inlineStr">
        <is>
          <t>TBD</t>
        </is>
      </c>
      <c r="C21" s="100" t="inlineStr">
        <is>
          <t>OPTIMAL</t>
        </is>
      </c>
      <c r="D21" s="100" t="inlineStr">
        <is>
          <t>OPTIMAL</t>
        </is>
      </c>
      <c r="E21" s="100" t="inlineStr">
        <is>
          <t>OPTIMAL</t>
        </is>
      </c>
      <c r="G21" s="113" t="inlineStr">
        <is>
          <t>SAME</t>
        </is>
      </c>
      <c r="H21" s="113" t="inlineStr">
        <is>
          <t>SAME</t>
        </is>
      </c>
      <c r="I21" s="115" t="inlineStr">
        <is>
          <t>TRADE-OFF</t>
        </is>
      </c>
      <c r="J21" s="71" t="n"/>
      <c r="K21" s="71" t="inlineStr">
        <is>
          <t>40 C: SOC end -8 pts</t>
        </is>
      </c>
    </row>
    <row r="22" ht="23.25" customHeight="1" s="65">
      <c r="A22" s="99" t="inlineStr">
        <is>
          <t>LCC_VMS_COMMS</t>
        </is>
      </c>
      <c r="B22" s="99" t="inlineStr">
        <is>
          <t>F46</t>
        </is>
      </c>
      <c r="C22" s="114" t="inlineStr">
        <is>
          <t>DERATED</t>
        </is>
      </c>
      <c r="D22" s="114" t="inlineStr">
        <is>
          <t>DERATED</t>
        </is>
      </c>
      <c r="E22" s="114" t="inlineStr">
        <is>
          <t>DERATED</t>
        </is>
      </c>
      <c r="G22" s="117" t="inlineStr">
        <is>
          <t>BY-DESIGN</t>
        </is>
      </c>
      <c r="H22" s="117" t="inlineStr">
        <is>
          <t>BY-DESIGN</t>
        </is>
      </c>
      <c r="I22" s="117" t="inlineStr">
        <is>
          <t>BY-DESIGN</t>
        </is>
      </c>
      <c r="J22" s="71" t="inlineStr">
        <is>
          <t>20 C: traction blocked (state) @ 0.00 h; 40 C: traction blocked (state) @ 0.00 h; 45 C: traction blocked (state) @ 0.00 h</t>
        </is>
      </c>
      <c r="K22" s="71" t="inlineStr">
        <is>
          <t>40 C: cell -1.3 K, motor -28.7 K, SOC end -3 pts</t>
        </is>
      </c>
    </row>
    <row r="23" ht="23.25" customHeight="1" s="65">
      <c r="A23" s="99" t="inlineStr">
        <is>
          <t>CLASS_A_GENERIC</t>
        </is>
      </c>
      <c r="B23" s="99" t="inlineStr">
        <is>
          <t>F46</t>
        </is>
      </c>
      <c r="C23" s="114" t="inlineStr">
        <is>
          <t>DERATED</t>
        </is>
      </c>
      <c r="D23" s="114" t="inlineStr">
        <is>
          <t>DERATED</t>
        </is>
      </c>
      <c r="E23" s="114" t="inlineStr">
        <is>
          <t>DERATED</t>
        </is>
      </c>
      <c r="G23" s="117" t="inlineStr">
        <is>
          <t>BY-DESIGN</t>
        </is>
      </c>
      <c r="H23" s="117" t="inlineStr">
        <is>
          <t>BY-DESIGN</t>
        </is>
      </c>
      <c r="I23" s="117" t="inlineStr">
        <is>
          <t>BY-DESIGN</t>
        </is>
      </c>
      <c r="J23" s="71" t="inlineStr">
        <is>
          <t>20 C: traction blocked (state) @ 0.00 h; 40 C: traction blocked (state) @ 0.00 h; 45 C: traction blocked (state) @ 0.00 h</t>
        </is>
      </c>
      <c r="K23" s="71" t="inlineStr">
        <is>
          <t>40 C: cell -1.3 K, motor -28.7 K, SOC end -3 pts</t>
        </is>
      </c>
    </row>
    <row r="24" ht="15" customHeight="1" s="65">
      <c r="A24" s="99" t="inlineStr">
        <is>
          <t>ESTOP</t>
        </is>
      </c>
      <c r="B24" s="99" t="inlineStr">
        <is>
          <t>TBD</t>
        </is>
      </c>
      <c r="C24" s="114" t="inlineStr">
        <is>
          <t>DERATED</t>
        </is>
      </c>
      <c r="D24" s="114" t="inlineStr">
        <is>
          <t>DERATED</t>
        </is>
      </c>
      <c r="E24" s="114" t="inlineStr">
        <is>
          <t>DERATED</t>
        </is>
      </c>
      <c r="G24" s="117" t="inlineStr">
        <is>
          <t>BY-DESIGN</t>
        </is>
      </c>
      <c r="H24" s="117" t="inlineStr">
        <is>
          <t>BY-DESIGN</t>
        </is>
      </c>
      <c r="I24" s="117" t="inlineStr">
        <is>
          <t>BY-DESIGN</t>
        </is>
      </c>
      <c r="J24" s="71" t="inlineStr">
        <is>
          <t>20 C: traction blocked (state) @ 0.00 h; 40 C: traction blocked (state) @ 0.00 h; 45 C: traction blocked (state) @ 0.00 h</t>
        </is>
      </c>
      <c r="K24" s="71" t="inlineStr">
        <is>
          <t>40 C: cell -1.3 K, motor -28.7 K, SOC end -3 pts</t>
        </is>
      </c>
    </row>
    <row r="25" ht="15" customHeight="1" s="65">
      <c r="A25" s="99" t="inlineStr">
        <is>
          <t>BASELINE</t>
        </is>
      </c>
      <c r="B25" s="99" t="n"/>
      <c r="C25" s="100" t="inlineStr">
        <is>
          <t>OPTIMAL</t>
        </is>
      </c>
      <c r="D25" s="100" t="inlineStr">
        <is>
          <t>OPTIMAL</t>
        </is>
      </c>
      <c r="E25" s="102" t="inlineStr">
        <is>
          <t>FAIL</t>
        </is>
      </c>
      <c r="G25" s="118" t="inlineStr">
        <is>
          <t>BASELINE</t>
        </is>
      </c>
      <c r="H25" s="118" t="inlineStr">
        <is>
          <t>BASELINE</t>
        </is>
      </c>
      <c r="I25" s="118" t="inlineStr">
        <is>
          <t>BASELINE</t>
        </is>
      </c>
      <c r="J25" s="71" t="inlineStr">
        <is>
          <t>45 C: condenser loop &gt; limit @ 2.08 h</t>
        </is>
      </c>
      <c r="K25" s="71" t="inlineStr">
        <is>
          <t>40 C: no change</t>
        </is>
      </c>
    </row>
    <row r="26" ht="15" customHeight="1" s="65"/>
    <row r="27" ht="15" customHeight="1" s="65">
      <c r="A27" s="75" t="inlineStr">
        <is>
          <t>Findings</t>
        </is>
      </c>
    </row>
    <row r="28" ht="15" customHeight="1" s="65">
      <c r="A28" s="73" t="inlineStr">
        <is>
          <t>1. PE pump loss and a BTMS 24 V supply trip (DCC65M24 feeds all SPAL pumps) are equally severe: chopper fluid 127-153 C at onset under load at every ambient (F61, RSK-NEW-30). Confirms the DCC65M24 and pump spares and the need for a flow-loss trip.</t>
        </is>
      </c>
    </row>
    <row r="29" ht="15" customHeight="1" s="65">
      <c r="A29" s="73" t="inlineStr">
        <is>
          <t>2. PE fan loss fails at 40 C (chopper &gt; 63 C after 14 min) and 45 C (after 10 min); at 20 C it passes with 8 K margin (4.7 K on the old baseline; lower aux heat now) (F59).</t>
        </is>
      </c>
    </row>
    <row r="30" ht="15" customHeight="1" s="65">
      <c r="A30" s="73" t="inlineStr">
        <is>
          <t>3. The no-fault baseline fails at 45 C on the condenser loop only (66.3 C vs 65 C check valves, ~2.1 h after onset, during charging). PE loop, cells and motors stay inside limits (F55, RSK-NEW-31).</t>
        </is>
      </c>
    </row>
    <row r="31" ht="15" customHeight="1" s="65">
      <c r="A31" s="73" t="inlineStr">
        <is>
          <t>4. Chiller loss (1, 2, or all 4 modules via a BTMS 12 V supply trip) has no effect on this 3 h duty up to 40 C: cells peak at ~28 C. At 45 C these faults look better than baseline only because the condenser runs cooler (MASKED).</t>
        </is>
      </c>
    </row>
    <row r="32" ht="15" customHeight="1" s="65">
      <c r="A32" s="73" t="inlineStr">
        <is>
          <t>5. Axle 4 cut-out cannot hold LC-3 on 0.5% at any ambient; remaining motors ~20 K hotter (F62).</t>
        </is>
      </c>
    </row>
    <row r="33" ht="15" customHeight="1" s="65">
      <c r="A33" s="73" t="inlineStr">
        <is>
          <t>6. Temperature sensor +5 K: TMS energy roughly doubles to triples (22 vs 10 kWh at 20 C; 59 vs 28 kWh at 40 C), condenser margin 2.7 K at 40 C, fails at 45 C within 4 min; -5 K: chiller never starts on this duty (F63).</t>
        </is>
      </c>
    </row>
    <row r="34" ht="15" customHeight="1" s="65">
      <c r="A34" s="73" t="inlineStr">
        <is>
          <t>7. Blower loss and aux converter trip: motors +49 K in 3 h without reaching the (placeholder) limit; aux trip also stops TMS and budget loads. WATCH for long duty (F64, C-22).</t>
        </is>
      </c>
    </row>
    <row r="35" ht="15" customHeight="1" s="65">
      <c r="A35" s="73" t="inlineStr">
        <is>
          <t>8. Battery pump loss, 1-2 open strings and charger derate: no thermal effect in 3 h; strings cost 1-2 SOC points, a 50% charger derate costs ~9 SOC points per charge window.</t>
        </is>
      </c>
    </row>
    <row r="36" ht="15" customHeight="1" s="65">
      <c r="A36" s="73" t="inlineStr">
        <is>
          <t>9. Comms loss, Class A and E-Stop stop the loco as designed. TMS energy for the 3 h duty (baseline): 10 / 28 / 40 kWh at 20 / 40 / 45 C.</t>
        </is>
      </c>
    </row>
    <row r="37" ht="15" customHeight="1" s="65">
      <c r="A37" s="119" t="inlineStr">
        <is>
          <t>10. v1.0 PE loop update (KULI 2026-10-09): no verdict or relative-to-baseline changes; chopper peaks +0.7-0.9 K (less flow per chopper), inverter peaks -0.1 K (more flow). One PE pump out of three (PE_PUMP_1OF3): SAME at all ambients, chopper +0.3-0.4 K.</t>
        </is>
      </c>
    </row>
    <row r="38" ht="15" customHeight="1" s="65">
      <c r="A38" s="119" t="inlineStr">
        <is>
          <t>11. Chopper heat is the open sensitivity: the +0.85 K shift implies a ~4.9 K chopper coolant rise at peak duty. At the KULI loss basis (2.7x the model) the 45 C baseline chopper peak would be ~64 C vs the 63 C limit (40 C: ~59 C). Pending Integral loss data (C-24, F65, RSK-NEW-38).</t>
        </is>
      </c>
    </row>
    <row r="39" ht="68.25" customHeight="1" s="65">
      <c r="A39" s="73" t="inlineStr">
        <is>
          <t>Limits: 3 h duty; lumped thermal; motor model and chiller map are placeholders; LV (SPAL) radiators not modeled (RSK-NEW-35); no breakaway resistance (RSK-NEW-33). C-22 repeats on 8 h duty.</t>
        </is>
      </c>
    </row>
    <row r="40" ht="15" customHeight="1" s="65"/>
    <row r="41" ht="15" customHeight="1" s="65">
      <c r="A41" s="75" t="inlineStr">
        <is>
          <t>Full results (results/fault_sweep_20261010_1013.csv, POC baseline + PE update; Tchop/Tinv from compare_fault_sweeps vs 20261007_1600, PE_PUMP_1OF3 rows at 0.1 K)</t>
        </is>
      </c>
    </row>
    <row r="42" ht="15" customHeight="1" s="65">
      <c r="A42" s="70" t="inlineStr">
        <is>
          <t>fault</t>
        </is>
      </c>
      <c r="B42" s="70" t="inlineStr">
        <is>
          <t>fmea</t>
        </is>
      </c>
      <c r="C42" s="70" t="inlineStr">
        <is>
          <t>T_amb</t>
        </is>
      </c>
      <c r="D42" s="70" t="inlineStr">
        <is>
          <t>verdict</t>
        </is>
      </c>
      <c r="E42" s="70" t="inlineStr">
        <is>
          <t>first_limit</t>
        </is>
      </c>
      <c r="F42" s="70" t="inlineStr">
        <is>
          <t>t_first_limit_h</t>
        </is>
      </c>
      <c r="G42" s="70" t="inlineStr">
        <is>
          <t>Tcell_max</t>
        </is>
      </c>
      <c r="H42" s="70" t="inlineStr">
        <is>
          <t>Tsup_max</t>
        </is>
      </c>
      <c r="I42" s="70" t="inlineStr">
        <is>
          <t>Tchop_max</t>
        </is>
      </c>
      <c r="J42" s="70" t="inlineStr">
        <is>
          <t>Tinv_max</t>
        </is>
      </c>
      <c r="K42" s="70" t="inlineStr">
        <is>
          <t>Tcond_max</t>
        </is>
      </c>
      <c r="L42" s="70" t="inlineStr">
        <is>
          <t>Tmotor_max</t>
        </is>
      </c>
      <c r="M42" s="70" t="inlineStr">
        <is>
          <t>soc_end</t>
        </is>
      </c>
      <c r="N42" s="70" t="inlineStr">
        <is>
          <t>E_tms_kWh</t>
        </is>
      </c>
      <c r="O42" s="70" t="inlineStr">
        <is>
          <t>dSOC_end</t>
        </is>
      </c>
      <c r="P42" s="70" t="inlineStr">
        <is>
          <t>dTchop_max</t>
        </is>
      </c>
      <c r="Q42" s="70" t="inlineStr">
        <is>
          <t>dTinv_max</t>
        </is>
      </c>
      <c r="R42" s="70" t="inlineStr">
        <is>
          <t>dTcell_max</t>
        </is>
      </c>
      <c r="S42" s="70" t="inlineStr">
        <is>
          <t>dTmotor_max</t>
        </is>
      </c>
      <c r="T42" s="70" t="inlineStr">
        <is>
          <t>by_design_stop</t>
        </is>
      </c>
      <c r="U42" s="70" t="inlineStr">
        <is>
          <t>limit</t>
        </is>
      </c>
    </row>
    <row r="43" ht="15" customHeight="1" s="65">
      <c r="A43" s="99" t="inlineStr">
        <is>
          <t>AUX_DCDC_TRIP</t>
        </is>
      </c>
      <c r="B43" s="99" t="inlineStr">
        <is>
          <t>TBD</t>
        </is>
      </c>
      <c r="C43" s="99" t="n">
        <v>20</v>
      </c>
      <c r="D43" s="107" t="inlineStr">
        <is>
          <t>OPTIMAL</t>
        </is>
      </c>
      <c r="E43" s="99" t="inlineStr">
        <is>
          <t>none</t>
        </is>
      </c>
      <c r="F43" s="99" t="n"/>
      <c r="G43" s="105" t="n">
        <v>25.9499195609787</v>
      </c>
      <c r="H43" s="105" t="n">
        <v>26.3935048410041</v>
      </c>
      <c r="I43" s="105" t="n">
        <v>30.6216634566209</v>
      </c>
      <c r="J43" s="105" t="n">
        <v>26.7895895564721</v>
      </c>
      <c r="K43" s="105" t="n">
        <v>20</v>
      </c>
      <c r="L43" s="105" t="n">
        <v>123.454335725275</v>
      </c>
      <c r="M43" s="105" t="n">
        <v>0.879326870375218</v>
      </c>
      <c r="N43" s="105" t="n">
        <v>3.48516665513983</v>
      </c>
      <c r="O43" s="105" t="n">
        <v>0.0032669221263411</v>
      </c>
      <c r="P43" s="105" t="n">
        <v>-0.141903406410805</v>
      </c>
      <c r="Q43" s="105" t="n">
        <v>-0.0118988761248993</v>
      </c>
      <c r="R43" s="105" t="n">
        <v>-0.0225849065510033</v>
      </c>
      <c r="S43" s="105" t="n">
        <v>49.292644769173</v>
      </c>
      <c r="T43" s="99" t="n">
        <v>0</v>
      </c>
      <c r="U43" s="99" t="n"/>
    </row>
    <row r="44" ht="15" customHeight="1" s="65">
      <c r="A44" s="99" t="inlineStr">
        <is>
          <t>AUX_DCDC_TRIP</t>
        </is>
      </c>
      <c r="B44" s="99" t="inlineStr">
        <is>
          <t>TBD</t>
        </is>
      </c>
      <c r="C44" s="99" t="n">
        <v>40</v>
      </c>
      <c r="D44" s="107" t="inlineStr">
        <is>
          <t>OPTIMAL</t>
        </is>
      </c>
      <c r="E44" s="99" t="inlineStr">
        <is>
          <t>none</t>
        </is>
      </c>
      <c r="F44" s="99" t="n"/>
      <c r="G44" s="105" t="n">
        <v>27.7973775633652</v>
      </c>
      <c r="H44" s="105" t="n">
        <v>46.537613035678</v>
      </c>
      <c r="I44" s="105" t="n">
        <v>50.7657709245278</v>
      </c>
      <c r="J44" s="105" t="n">
        <v>47.0518556458828</v>
      </c>
      <c r="K44" s="105" t="n">
        <v>40</v>
      </c>
      <c r="L44" s="105" t="n">
        <v>143.453345076185</v>
      </c>
      <c r="M44" s="105" t="n">
        <v>0.878076485384072</v>
      </c>
      <c r="N44" s="105" t="n">
        <v>20.5727503668578</v>
      </c>
      <c r="O44" s="105" t="n">
        <v>0.003330145326391</v>
      </c>
      <c r="P44" s="105" t="n">
        <v>-0.123017478407199</v>
      </c>
      <c r="Q44" s="105" t="n">
        <v>-0.0130124045778999</v>
      </c>
      <c r="R44" s="105" t="n">
        <v>-0.0294070791015884</v>
      </c>
      <c r="S44" s="105" t="n">
        <v>49.2900063947975</v>
      </c>
      <c r="T44" s="99" t="n">
        <v>0</v>
      </c>
      <c r="U44" s="99" t="n"/>
    </row>
    <row r="45" ht="15" customHeight="1" s="65">
      <c r="A45" s="99" t="inlineStr">
        <is>
          <t>AUX_DCDC_TRIP</t>
        </is>
      </c>
      <c r="B45" s="99" t="inlineStr">
        <is>
          <t>TBD</t>
        </is>
      </c>
      <c r="C45" s="99" t="n">
        <v>45</v>
      </c>
      <c r="D45" s="107" t="inlineStr">
        <is>
          <t>OPTIMAL</t>
        </is>
      </c>
      <c r="E45" s="99" t="inlineStr">
        <is>
          <t>none</t>
        </is>
      </c>
      <c r="F45" s="99" t="n"/>
      <c r="G45" s="105" t="n">
        <v>28.2816175059969</v>
      </c>
      <c r="H45" s="105" t="n">
        <v>51.5383842130452</v>
      </c>
      <c r="I45" s="105" t="n">
        <v>55.7665424375085</v>
      </c>
      <c r="J45" s="105" t="n">
        <v>52.05262682325</v>
      </c>
      <c r="K45" s="105" t="n">
        <v>45</v>
      </c>
      <c r="L45" s="105" t="n">
        <v>148.453962424941</v>
      </c>
      <c r="M45" s="105" t="n">
        <v>0.877879798544683</v>
      </c>
      <c r="N45" s="105" t="n">
        <v>22.3816666342374</v>
      </c>
      <c r="O45" s="105" t="n">
        <v>0.0054367545692922</v>
      </c>
      <c r="P45" s="105" t="n">
        <v>-0.138058436885594</v>
      </c>
      <c r="Q45" s="105" t="n">
        <v>-0.491824212700401</v>
      </c>
      <c r="R45" s="105" t="n">
        <v>0.276096117083171</v>
      </c>
      <c r="S45" s="105" t="n">
        <v>49.2918765986252</v>
      </c>
      <c r="T45" s="99" t="n">
        <v>0</v>
      </c>
      <c r="U45" s="99" t="n"/>
    </row>
    <row r="46" ht="15" customHeight="1" s="65">
      <c r="A46" s="99" t="inlineStr">
        <is>
          <t>AXLE4_CUTOUT</t>
        </is>
      </c>
      <c r="B46" s="99" t="inlineStr">
        <is>
          <t>F50</t>
        </is>
      </c>
      <c r="C46" s="99" t="n">
        <v>20</v>
      </c>
      <c r="D46" s="120" t="inlineStr">
        <is>
          <t>DERATED</t>
        </is>
      </c>
      <c r="E46" s="99" t="inlineStr">
        <is>
          <t>speed deficit &gt; 1 mph</t>
        </is>
      </c>
      <c r="F46" s="105" t="n">
        <v>0.126944444444444</v>
      </c>
      <c r="G46" s="105" t="n">
        <v>25.5841510123109</v>
      </c>
      <c r="H46" s="105" t="n">
        <v>26.3935048410041</v>
      </c>
      <c r="I46" s="105" t="n">
        <v>31.5197984759604</v>
      </c>
      <c r="J46" s="105" t="n">
        <v>26.7895895564721</v>
      </c>
      <c r="K46" s="105" t="n">
        <v>20</v>
      </c>
      <c r="L46" s="105" t="n">
        <v>93.9840963619544</v>
      </c>
      <c r="M46" s="105" t="n">
        <v>0.903452496779709</v>
      </c>
      <c r="N46" s="105" t="n">
        <v>10.4206505261076</v>
      </c>
      <c r="O46" s="105" t="n">
        <v>0.0273925485308321</v>
      </c>
      <c r="P46" s="105" t="n">
        <v>0.756231612928698</v>
      </c>
      <c r="Q46" s="105" t="n">
        <v>-0.0118988761248993</v>
      </c>
      <c r="R46" s="105" t="n">
        <v>-0.388353455218805</v>
      </c>
      <c r="S46" s="105" t="n">
        <v>19.822405405852</v>
      </c>
      <c r="T46" s="99" t="n">
        <v>0</v>
      </c>
      <c r="U46" s="99" t="inlineStr">
        <is>
          <t>speed not held</t>
        </is>
      </c>
    </row>
    <row r="47" ht="15" customHeight="1" s="65">
      <c r="A47" s="99" t="inlineStr">
        <is>
          <t>AXLE4_CUTOUT</t>
        </is>
      </c>
      <c r="B47" s="99" t="inlineStr">
        <is>
          <t>F50</t>
        </is>
      </c>
      <c r="C47" s="99" t="n">
        <v>40</v>
      </c>
      <c r="D47" s="120" t="inlineStr">
        <is>
          <t>DERATED</t>
        </is>
      </c>
      <c r="E47" s="99" t="inlineStr">
        <is>
          <t>speed deficit &gt; 1 mph</t>
        </is>
      </c>
      <c r="F47" s="105" t="n">
        <v>0.126944444444444</v>
      </c>
      <c r="G47" s="105" t="n">
        <v>27.3826215985243</v>
      </c>
      <c r="H47" s="105" t="n">
        <v>46.537613035678</v>
      </c>
      <c r="I47" s="105" t="n">
        <v>51.6652269735655</v>
      </c>
      <c r="J47" s="105" t="n">
        <v>47.0518556458828</v>
      </c>
      <c r="K47" s="105" t="n">
        <v>40</v>
      </c>
      <c r="L47" s="105" t="n">
        <v>113.983020853443</v>
      </c>
      <c r="M47" s="105" t="n">
        <v>0.902331999268606</v>
      </c>
      <c r="N47" s="105" t="n">
        <v>27.4748396455226</v>
      </c>
      <c r="O47" s="105" t="n">
        <v>0.0275856592109254</v>
      </c>
      <c r="P47" s="105" t="n">
        <v>0.776438570630496</v>
      </c>
      <c r="Q47" s="105" t="n">
        <v>-0.0130124045778999</v>
      </c>
      <c r="R47" s="105" t="n">
        <v>-0.444163043942524</v>
      </c>
      <c r="S47" s="105" t="n">
        <v>19.8196821720553</v>
      </c>
      <c r="T47" s="99" t="n">
        <v>0</v>
      </c>
      <c r="U47" s="99" t="inlineStr">
        <is>
          <t>speed not held</t>
        </is>
      </c>
    </row>
    <row r="48" ht="15" customHeight="1" s="65">
      <c r="A48" s="99" t="inlineStr">
        <is>
          <t>AXLE4_CUTOUT</t>
        </is>
      </c>
      <c r="B48" s="99" t="inlineStr">
        <is>
          <t>F50</t>
        </is>
      </c>
      <c r="C48" s="99" t="n">
        <v>45</v>
      </c>
      <c r="D48" s="120" t="inlineStr">
        <is>
          <t>DERATED</t>
        </is>
      </c>
      <c r="E48" s="99" t="inlineStr">
        <is>
          <t>speed deficit &gt; 1 mph</t>
        </is>
      </c>
      <c r="F48" s="105" t="n">
        <v>0.126944444444444</v>
      </c>
      <c r="G48" s="105" t="n">
        <v>27.86926089505</v>
      </c>
      <c r="H48" s="105" t="n">
        <v>51.5383842130452</v>
      </c>
      <c r="I48" s="105" t="n">
        <v>56.6655773981511</v>
      </c>
      <c r="J48" s="105" t="n">
        <v>52.05262682325</v>
      </c>
      <c r="K48" s="105" t="n">
        <v>45</v>
      </c>
      <c r="L48" s="105" t="n">
        <v>118.98399261943</v>
      </c>
      <c r="M48" s="105" t="n">
        <v>0.90214851932636</v>
      </c>
      <c r="N48" s="105" t="n">
        <v>29.317150505205</v>
      </c>
      <c r="O48" s="105" t="n">
        <v>0.0297054753509692</v>
      </c>
      <c r="P48" s="105" t="n">
        <v>0.760976523757002</v>
      </c>
      <c r="Q48" s="105" t="n">
        <v>-0.491824212700401</v>
      </c>
      <c r="R48" s="105" t="n">
        <v>-0.136260493863688</v>
      </c>
      <c r="S48" s="105" t="n">
        <v>19.8219067931149</v>
      </c>
      <c r="T48" s="99" t="n">
        <v>0</v>
      </c>
      <c r="U48" s="99" t="inlineStr">
        <is>
          <t>speed not held</t>
        </is>
      </c>
    </row>
    <row r="49" ht="15" customHeight="1" s="65">
      <c r="A49" s="99" t="inlineStr">
        <is>
          <t>BASELINE</t>
        </is>
      </c>
      <c r="B49" s="99" t="n"/>
      <c r="C49" s="99" t="n">
        <v>20</v>
      </c>
      <c r="D49" s="107" t="inlineStr">
        <is>
          <t>OPTIMAL</t>
        </is>
      </c>
      <c r="E49" s="99" t="inlineStr">
        <is>
          <t>none</t>
        </is>
      </c>
      <c r="F49" s="99" t="n"/>
      <c r="G49" s="105" t="n">
        <v>25.9725044675297</v>
      </c>
      <c r="H49" s="105" t="n">
        <v>26.405403717129</v>
      </c>
      <c r="I49" s="105" t="n">
        <v>30.7635668630317</v>
      </c>
      <c r="J49" s="105" t="n">
        <v>26.801488432597</v>
      </c>
      <c r="K49" s="105" t="n">
        <v>20</v>
      </c>
      <c r="L49" s="105" t="n">
        <v>74.1616909561023</v>
      </c>
      <c r="M49" s="105" t="n">
        <v>0.876059948248876</v>
      </c>
      <c r="N49" s="105" t="n">
        <v>10.4206505261076</v>
      </c>
      <c r="O49" s="105" t="n">
        <v>0</v>
      </c>
      <c r="P49" s="105" t="n">
        <v>0</v>
      </c>
      <c r="Q49" s="105" t="n">
        <v>0</v>
      </c>
      <c r="R49" s="105" t="n">
        <v>0</v>
      </c>
      <c r="S49" s="105" t="n">
        <v>0</v>
      </c>
      <c r="T49" s="99" t="n">
        <v>0</v>
      </c>
      <c r="U49" s="99" t="n"/>
    </row>
    <row r="50" ht="15" customHeight="1" s="65">
      <c r="A50" s="99" t="inlineStr">
        <is>
          <t>BASELINE</t>
        </is>
      </c>
      <c r="B50" s="99" t="n"/>
      <c r="C50" s="99" t="n">
        <v>40</v>
      </c>
      <c r="D50" s="107" t="inlineStr">
        <is>
          <t>OPTIMAL</t>
        </is>
      </c>
      <c r="E50" s="99" t="inlineStr">
        <is>
          <t>none</t>
        </is>
      </c>
      <c r="F50" s="99" t="n"/>
      <c r="G50" s="105" t="n">
        <v>27.8267846424668</v>
      </c>
      <c r="H50" s="105" t="n">
        <v>46.5506254402559</v>
      </c>
      <c r="I50" s="105" t="n">
        <v>50.888788402935</v>
      </c>
      <c r="J50" s="105" t="n">
        <v>47.0648680504607</v>
      </c>
      <c r="K50" s="105" t="n">
        <v>40</v>
      </c>
      <c r="L50" s="105" t="n">
        <v>94.1633386813878</v>
      </c>
      <c r="M50" s="105" t="n">
        <v>0.874746340057681</v>
      </c>
      <c r="N50" s="105" t="n">
        <v>27.7692460847779</v>
      </c>
      <c r="O50" s="105" t="n">
        <v>0</v>
      </c>
      <c r="P50" s="105" t="n">
        <v>0</v>
      </c>
      <c r="Q50" s="105" t="n">
        <v>0</v>
      </c>
      <c r="R50" s="105" t="n">
        <v>0</v>
      </c>
      <c r="S50" s="105" t="n">
        <v>0</v>
      </c>
      <c r="T50" s="99" t="n">
        <v>0</v>
      </c>
      <c r="U50" s="99" t="n"/>
    </row>
    <row r="51" ht="15" customHeight="1" s="65">
      <c r="A51" s="99" t="inlineStr">
        <is>
          <t>BASELINE</t>
        </is>
      </c>
      <c r="B51" s="99" t="n"/>
      <c r="C51" s="99" t="n">
        <v>45</v>
      </c>
      <c r="D51" s="103" t="inlineStr">
        <is>
          <t>FAIL</t>
        </is>
      </c>
      <c r="E51" s="99" t="inlineStr">
        <is>
          <t>condenser loop &gt; limit</t>
        </is>
      </c>
      <c r="F51" s="105" t="n">
        <v>2.07694444444444</v>
      </c>
      <c r="G51" s="105" t="n">
        <v>28.0055213889137</v>
      </c>
      <c r="H51" s="105" t="n">
        <v>51.6076213524985</v>
      </c>
      <c r="I51" s="105" t="n">
        <v>55.9046008743941</v>
      </c>
      <c r="J51" s="105" t="n">
        <v>52.5444510359504</v>
      </c>
      <c r="K51" s="105" t="n">
        <v>66.2717523257601</v>
      </c>
      <c r="L51" s="105" t="n">
        <v>99.1620858263155</v>
      </c>
      <c r="M51" s="105" t="n">
        <v>0.872443043975391</v>
      </c>
      <c r="N51" s="105" t="n">
        <v>40.0357434127248</v>
      </c>
      <c r="O51" s="105" t="n">
        <v>0</v>
      </c>
      <c r="P51" s="105" t="n">
        <v>0</v>
      </c>
      <c r="Q51" s="105" t="n">
        <v>0</v>
      </c>
      <c r="R51" s="105" t="n">
        <v>0</v>
      </c>
      <c r="S51" s="105" t="n">
        <v>0</v>
      </c>
      <c r="T51" s="99" t="n">
        <v>0</v>
      </c>
      <c r="U51" s="99" t="inlineStr">
        <is>
          <t>condenser loop &gt; 65 C (check valve)</t>
        </is>
      </c>
    </row>
    <row r="52" ht="15" customHeight="1" s="65">
      <c r="A52" s="99" t="inlineStr">
        <is>
          <t>BAT_PUMP_FAIL</t>
        </is>
      </c>
      <c r="B52" s="99" t="inlineStr">
        <is>
          <t>TBD</t>
        </is>
      </c>
      <c r="C52" s="99" t="n">
        <v>20</v>
      </c>
      <c r="D52" s="107" t="inlineStr">
        <is>
          <t>OPTIMAL</t>
        </is>
      </c>
      <c r="E52" s="99" t="inlineStr">
        <is>
          <t>none</t>
        </is>
      </c>
      <c r="F52" s="99" t="n"/>
      <c r="G52" s="105" t="n">
        <v>25.9900540435868</v>
      </c>
      <c r="H52" s="105" t="n">
        <v>26.4054037450413</v>
      </c>
      <c r="I52" s="105" t="n">
        <v>30.7635668909754</v>
      </c>
      <c r="J52" s="105" t="n">
        <v>26.8014884605093</v>
      </c>
      <c r="K52" s="105" t="n">
        <v>20</v>
      </c>
      <c r="L52" s="105" t="n">
        <v>74.16159104555</v>
      </c>
      <c r="M52" s="105" t="n">
        <v>0.8760597068309161</v>
      </c>
      <c r="N52" s="105" t="n">
        <v>10.4206505261076</v>
      </c>
      <c r="O52" s="105" t="n">
        <v>-2.41417960289425e-07</v>
      </c>
      <c r="P52" s="105" t="n">
        <v>2.79436989103488e-08</v>
      </c>
      <c r="Q52" s="105" t="n">
        <v>2.79123000268555e-08</v>
      </c>
      <c r="R52" s="105" t="n">
        <v>0.0175495760571494</v>
      </c>
      <c r="S52" s="105" t="n">
        <v>-9.9910552307847e-05</v>
      </c>
      <c r="T52" s="99" t="n">
        <v>0</v>
      </c>
      <c r="U52" s="99" t="n"/>
    </row>
    <row r="53" ht="15" customHeight="1" s="65">
      <c r="A53" s="99" t="inlineStr">
        <is>
          <t>BAT_PUMP_FAIL</t>
        </is>
      </c>
      <c r="B53" s="99" t="inlineStr">
        <is>
          <t>TBD</t>
        </is>
      </c>
      <c r="C53" s="99" t="n">
        <v>40</v>
      </c>
      <c r="D53" s="107" t="inlineStr">
        <is>
          <t>OPTIMAL</t>
        </is>
      </c>
      <c r="E53" s="99" t="inlineStr">
        <is>
          <t>none</t>
        </is>
      </c>
      <c r="F53" s="99" t="n"/>
      <c r="G53" s="105" t="n">
        <v>27.8327736194955</v>
      </c>
      <c r="H53" s="105" t="n">
        <v>46.550624655477</v>
      </c>
      <c r="I53" s="105" t="n">
        <v>50.8887876179072</v>
      </c>
      <c r="J53" s="105" t="n">
        <v>47.0648672656819</v>
      </c>
      <c r="K53" s="105" t="n">
        <v>40</v>
      </c>
      <c r="L53" s="105" t="n">
        <v>94.1618319006067</v>
      </c>
      <c r="M53" s="105" t="n">
        <v>0.8747465313352329</v>
      </c>
      <c r="N53" s="105" t="n">
        <v>27.7691652510087</v>
      </c>
      <c r="O53" s="105" t="n">
        <v>1.91277551797597e-07</v>
      </c>
      <c r="P53" s="105" t="n">
        <v>-7.850278009868819e-07</v>
      </c>
      <c r="Q53" s="105" t="n">
        <v>-7.84778798390562e-07</v>
      </c>
      <c r="R53" s="105" t="n">
        <v>0.0059889770287213</v>
      </c>
      <c r="S53" s="105" t="n">
        <v>-0.0015067807810851</v>
      </c>
      <c r="T53" s="99" t="n">
        <v>0</v>
      </c>
      <c r="U53" s="99" t="n"/>
    </row>
    <row r="54" ht="15" customHeight="1" s="65">
      <c r="A54" s="99" t="inlineStr">
        <is>
          <t>BAT_PUMP_FAIL</t>
        </is>
      </c>
      <c r="B54" s="99" t="inlineStr">
        <is>
          <t>TBD</t>
        </is>
      </c>
      <c r="C54" s="99" t="n">
        <v>45</v>
      </c>
      <c r="D54" s="103" t="inlineStr">
        <is>
          <t>FAIL</t>
        </is>
      </c>
      <c r="E54" s="99" t="inlineStr">
        <is>
          <t>condenser loop &gt; limit</t>
        </is>
      </c>
      <c r="F54" s="105" t="n">
        <v>2.06347175980517</v>
      </c>
      <c r="G54" s="105" t="n">
        <v>28.0201650634467</v>
      </c>
      <c r="H54" s="105" t="n">
        <v>51.7210290289778</v>
      </c>
      <c r="I54" s="105" t="n">
        <v>55.9483977811297</v>
      </c>
      <c r="J54" s="105" t="n">
        <v>52.6795625275433</v>
      </c>
      <c r="K54" s="105" t="n">
        <v>66.2717523295172</v>
      </c>
      <c r="L54" s="105" t="n">
        <v>99.16201298730751</v>
      </c>
      <c r="M54" s="105" t="n">
        <v>0.872180652923058</v>
      </c>
      <c r="N54" s="105" t="n">
        <v>41.3566277375668</v>
      </c>
      <c r="O54" s="105" t="n">
        <v>-0.0002623910523325</v>
      </c>
      <c r="P54" s="105" t="n">
        <v>0.0437969067356008</v>
      </c>
      <c r="Q54" s="105" t="n">
        <v>0.135111491592902</v>
      </c>
      <c r="R54" s="105" t="n">
        <v>0.0146436745329197</v>
      </c>
      <c r="S54" s="105" t="n">
        <v>-7.28390079416386e-05</v>
      </c>
      <c r="T54" s="99" t="n">
        <v>0</v>
      </c>
      <c r="U54" s="99" t="inlineStr">
        <is>
          <t>condenser loop &gt; 65 C (check valve)</t>
        </is>
      </c>
    </row>
    <row r="55" ht="15" customHeight="1" s="65">
      <c r="A55" s="99" t="inlineStr">
        <is>
          <t>BLOWER_FAIL</t>
        </is>
      </c>
      <c r="B55" s="99" t="inlineStr">
        <is>
          <t>F50</t>
        </is>
      </c>
      <c r="C55" s="99" t="n">
        <v>20</v>
      </c>
      <c r="D55" s="107" t="inlineStr">
        <is>
          <t>OPTIMAL</t>
        </is>
      </c>
      <c r="E55" s="99" t="inlineStr">
        <is>
          <t>none</t>
        </is>
      </c>
      <c r="F55" s="99" t="n"/>
      <c r="G55" s="105" t="n">
        <v>25.9725032392872</v>
      </c>
      <c r="H55" s="105" t="n">
        <v>26.4054045062576</v>
      </c>
      <c r="I55" s="105" t="n">
        <v>30.7635676524449</v>
      </c>
      <c r="J55" s="105" t="n">
        <v>26.8014892217256</v>
      </c>
      <c r="K55" s="105" t="n">
        <v>20</v>
      </c>
      <c r="L55" s="105" t="n">
        <v>123.449819564585</v>
      </c>
      <c r="M55" s="105" t="n">
        <v>0.876060012241059</v>
      </c>
      <c r="N55" s="105" t="n">
        <v>10.4206505261076</v>
      </c>
      <c r="O55" s="105" t="n">
        <v>6.39921829970191e-08</v>
      </c>
      <c r="P55" s="105" t="n">
        <v>7.89413199697719e-07</v>
      </c>
      <c r="Q55" s="105" t="n">
        <v>7.89128598910338e-07</v>
      </c>
      <c r="R55" s="105" t="n">
        <v>-1.22824252457576e-06</v>
      </c>
      <c r="S55" s="105" t="n">
        <v>49.2881286084823</v>
      </c>
      <c r="T55" s="99" t="n">
        <v>0</v>
      </c>
      <c r="U55" s="99" t="n"/>
    </row>
    <row r="56" ht="15" customHeight="1" s="65">
      <c r="A56" s="99" t="inlineStr">
        <is>
          <t>BLOWER_FAIL</t>
        </is>
      </c>
      <c r="B56" s="99" t="inlineStr">
        <is>
          <t>F50</t>
        </is>
      </c>
      <c r="C56" s="99" t="n">
        <v>40</v>
      </c>
      <c r="D56" s="107" t="inlineStr">
        <is>
          <t>OPTIMAL</t>
        </is>
      </c>
      <c r="E56" s="99" t="inlineStr">
        <is>
          <t>none</t>
        </is>
      </c>
      <c r="F56" s="99" t="n"/>
      <c r="G56" s="105" t="n">
        <v>27.8267778288987</v>
      </c>
      <c r="H56" s="105" t="n">
        <v>46.55062471742</v>
      </c>
      <c r="I56" s="105" t="n">
        <v>50.8887876798575</v>
      </c>
      <c r="J56" s="105" t="n">
        <v>47.0648673276248</v>
      </c>
      <c r="K56" s="105" t="n">
        <v>40</v>
      </c>
      <c r="L56" s="105" t="n">
        <v>143.453004870526</v>
      </c>
      <c r="M56" s="105" t="n">
        <v>0.874746158032533</v>
      </c>
      <c r="N56" s="105" t="n">
        <v>27.7691514460571</v>
      </c>
      <c r="O56" s="105" t="n">
        <v>-1.82025148065534e-07</v>
      </c>
      <c r="P56" s="105" t="n">
        <v>-7.23077498321345e-07</v>
      </c>
      <c r="Q56" s="105" t="n">
        <v>-7.22835899580332e-07</v>
      </c>
      <c r="R56" s="105" t="n">
        <v>-6.81356812037848e-06</v>
      </c>
      <c r="S56" s="105" t="n">
        <v>49.2896661891382</v>
      </c>
      <c r="T56" s="99" t="n">
        <v>0</v>
      </c>
      <c r="U56" s="99" t="n"/>
    </row>
    <row r="57" ht="15" customHeight="1" s="65">
      <c r="A57" s="99" t="inlineStr">
        <is>
          <t>BLOWER_FAIL</t>
        </is>
      </c>
      <c r="B57" s="99" t="inlineStr">
        <is>
          <t>F50</t>
        </is>
      </c>
      <c r="C57" s="99" t="n">
        <v>45</v>
      </c>
      <c r="D57" s="103" t="inlineStr">
        <is>
          <t>FAIL</t>
        </is>
      </c>
      <c r="E57" s="99" t="inlineStr">
        <is>
          <t>condenser loop &gt; limit</t>
        </is>
      </c>
      <c r="F57" s="105" t="n">
        <v>2.07694444444444</v>
      </c>
      <c r="G57" s="105" t="n">
        <v>28.0055298808078</v>
      </c>
      <c r="H57" s="105" t="n">
        <v>51.6076205736913</v>
      </c>
      <c r="I57" s="105" t="n">
        <v>55.9046000911104</v>
      </c>
      <c r="J57" s="105" t="n">
        <v>52.5444502580978</v>
      </c>
      <c r="K57" s="105" t="n">
        <v>66.2717523257601</v>
      </c>
      <c r="L57" s="105" t="n">
        <v>148.45586862322</v>
      </c>
      <c r="M57" s="105" t="n">
        <v>0.872443029490003</v>
      </c>
      <c r="N57" s="105" t="n">
        <v>40.0357434640099</v>
      </c>
      <c r="O57" s="105" t="n">
        <v>-1.44853874450845e-08</v>
      </c>
      <c r="P57" s="105" t="n">
        <v>-7.83283695682258e-07</v>
      </c>
      <c r="Q57" s="105" t="n">
        <v>-7.77852598332629e-07</v>
      </c>
      <c r="R57" s="105" t="n">
        <v>8.49189410701001e-06</v>
      </c>
      <c r="S57" s="105" t="n">
        <v>49.2937827969047</v>
      </c>
      <c r="T57" s="99" t="n">
        <v>0</v>
      </c>
      <c r="U57" s="99" t="inlineStr">
        <is>
          <t>condenser loop &gt; 65 C (check valve)</t>
        </is>
      </c>
    </row>
    <row r="58" ht="15" customHeight="1" s="65">
      <c r="A58" s="99" t="inlineStr">
        <is>
          <t>BTMS_12V_PS_TRIP</t>
        </is>
      </c>
      <c r="B58" s="99" t="inlineStr">
        <is>
          <t>F55</t>
        </is>
      </c>
      <c r="C58" s="99" t="n">
        <v>20</v>
      </c>
      <c r="D58" s="107" t="inlineStr">
        <is>
          <t>OPTIMAL</t>
        </is>
      </c>
      <c r="E58" s="99" t="inlineStr">
        <is>
          <t>none</t>
        </is>
      </c>
      <c r="F58" s="99" t="n"/>
      <c r="G58" s="105" t="n">
        <v>25.9725049206861</v>
      </c>
      <c r="H58" s="105" t="n">
        <v>26.4054034229942</v>
      </c>
      <c r="I58" s="105" t="n">
        <v>30.7635665690891</v>
      </c>
      <c r="J58" s="105" t="n">
        <v>26.8014881384622</v>
      </c>
      <c r="K58" s="105" t="n">
        <v>20</v>
      </c>
      <c r="L58" s="105" t="n">
        <v>74.1617637109497</v>
      </c>
      <c r="M58" s="105" t="n">
        <v>0.876060031990517</v>
      </c>
      <c r="N58" s="105" t="n">
        <v>10.4206505261076</v>
      </c>
      <c r="O58" s="105" t="n">
        <v>8.37416406218594e-08</v>
      </c>
      <c r="P58" s="105" t="n">
        <v>-2.93942601814479e-07</v>
      </c>
      <c r="Q58" s="105" t="n">
        <v>-2.94134800071788e-07</v>
      </c>
      <c r="R58" s="105" t="n">
        <v>4.53156417279388e-07</v>
      </c>
      <c r="S58" s="105" t="n">
        <v>7.27548473378192e-05</v>
      </c>
      <c r="T58" s="99" t="n">
        <v>0</v>
      </c>
      <c r="U58" s="99" t="n"/>
    </row>
    <row r="59" ht="15" customHeight="1" s="65">
      <c r="A59" s="99" t="inlineStr">
        <is>
          <t>BTMS_12V_PS_TRIP</t>
        </is>
      </c>
      <c r="B59" s="99" t="inlineStr">
        <is>
          <t>F55</t>
        </is>
      </c>
      <c r="C59" s="99" t="n">
        <v>40</v>
      </c>
      <c r="D59" s="107" t="inlineStr">
        <is>
          <t>OPTIMAL</t>
        </is>
      </c>
      <c r="E59" s="99" t="inlineStr">
        <is>
          <t>none</t>
        </is>
      </c>
      <c r="F59" s="99" t="n"/>
      <c r="G59" s="105" t="n">
        <v>27.8267761045557</v>
      </c>
      <c r="H59" s="105" t="n">
        <v>46.5506257526357</v>
      </c>
      <c r="I59" s="105" t="n">
        <v>50.8887887154197</v>
      </c>
      <c r="J59" s="105" t="n">
        <v>47.0648683628405</v>
      </c>
      <c r="K59" s="105" t="n">
        <v>40</v>
      </c>
      <c r="L59" s="105" t="n">
        <v>94.1618344287602</v>
      </c>
      <c r="M59" s="105" t="n">
        <v>0.8747462530385</v>
      </c>
      <c r="N59" s="105" t="n">
        <v>27.769127786647</v>
      </c>
      <c r="O59" s="105" t="n">
        <v>-8.70191808610699e-08</v>
      </c>
      <c r="P59" s="105" t="n">
        <v>3.12484701225912e-07</v>
      </c>
      <c r="Q59" s="105" t="n">
        <v>3.12379796696405e-07</v>
      </c>
      <c r="R59" s="105" t="n">
        <v>-8.53791112831459e-06</v>
      </c>
      <c r="S59" s="105" t="n">
        <v>-0.0015042526275692</v>
      </c>
      <c r="T59" s="99" t="n">
        <v>0</v>
      </c>
      <c r="U59" s="99" t="n"/>
    </row>
    <row r="60" ht="15" customHeight="1" s="65">
      <c r="A60" s="99" t="inlineStr">
        <is>
          <t>BTMS_12V_PS_TRIP</t>
        </is>
      </c>
      <c r="B60" s="99" t="inlineStr">
        <is>
          <t>F55</t>
        </is>
      </c>
      <c r="C60" s="99" t="n">
        <v>45</v>
      </c>
      <c r="D60" s="107" t="inlineStr">
        <is>
          <t>OPTIMAL</t>
        </is>
      </c>
      <c r="E60" s="99" t="inlineStr">
        <is>
          <t>none</t>
        </is>
      </c>
      <c r="F60" s="99" t="n"/>
      <c r="G60" s="105" t="n">
        <v>28.3114701504521</v>
      </c>
      <c r="H60" s="105" t="n">
        <v>51.5686201458596</v>
      </c>
      <c r="I60" s="105" t="n">
        <v>55.9066398084239</v>
      </c>
      <c r="J60" s="105" t="n">
        <v>52.2154123693138</v>
      </c>
      <c r="K60" s="105" t="n">
        <v>45</v>
      </c>
      <c r="L60" s="105" t="n">
        <v>99.1623814256955</v>
      </c>
      <c r="M60" s="105" t="n">
        <v>0.873912723757837</v>
      </c>
      <c r="N60" s="105" t="n">
        <v>32.6615965564217</v>
      </c>
      <c r="O60" s="105" t="n">
        <v>0.0014696797824465</v>
      </c>
      <c r="P60" s="105" t="n">
        <v>0.00203893402980526</v>
      </c>
      <c r="Q60" s="105" t="n">
        <v>-0.329038666636606</v>
      </c>
      <c r="R60" s="105" t="n">
        <v>0.305948761538389</v>
      </c>
      <c r="S60" s="105" t="n">
        <v>0.0002955993799673</v>
      </c>
      <c r="T60" s="99" t="n">
        <v>0</v>
      </c>
      <c r="U60" s="99" t="n"/>
    </row>
    <row r="61" ht="15" customHeight="1" s="65">
      <c r="A61" s="99" t="inlineStr">
        <is>
          <t>BTMS_24V_PS_TRIP</t>
        </is>
      </c>
      <c r="B61" s="99" t="inlineStr">
        <is>
          <t>F61</t>
        </is>
      </c>
      <c r="C61" s="99" t="n">
        <v>20</v>
      </c>
      <c r="D61" s="103" t="inlineStr">
        <is>
          <t>FAIL</t>
        </is>
      </c>
      <c r="E61" s="99" t="inlineStr">
        <is>
          <t>chopper fluid &gt; limit</t>
        </is>
      </c>
      <c r="F61" s="105" t="n">
        <v>0</v>
      </c>
      <c r="G61" s="105" t="n">
        <v>25.9929280043421</v>
      </c>
      <c r="H61" s="105" t="n">
        <v>26.3935048410041</v>
      </c>
      <c r="I61" s="105" t="n">
        <v>127.382759776574</v>
      </c>
      <c r="J61" s="105" t="n">
        <v>29.6956206721021</v>
      </c>
      <c r="K61" s="105" t="n">
        <v>20</v>
      </c>
      <c r="L61" s="105" t="n">
        <v>74.1614064781124</v>
      </c>
      <c r="M61" s="105" t="n">
        <v>0.875215133777644</v>
      </c>
      <c r="N61" s="105" t="n">
        <v>20.296274396351</v>
      </c>
      <c r="O61" s="105" t="n">
        <v>-0.0008448144712328</v>
      </c>
      <c r="P61" s="105" t="n">
        <v>96.61919291354231</v>
      </c>
      <c r="Q61" s="105" t="n">
        <v>2.8941322395051</v>
      </c>
      <c r="R61" s="105" t="n">
        <v>0.0204235368124159</v>
      </c>
      <c r="S61" s="105" t="n">
        <v>-0.0002844779899646</v>
      </c>
      <c r="T61" s="99" t="n">
        <v>0</v>
      </c>
      <c r="U61" s="99" t="inlineStr">
        <is>
          <t>chopper fluid &gt; 63 C</t>
        </is>
      </c>
    </row>
    <row r="62" ht="15" customHeight="1" s="65">
      <c r="A62" s="99" t="inlineStr">
        <is>
          <t>BTMS_24V_PS_TRIP</t>
        </is>
      </c>
      <c r="B62" s="99" t="inlineStr">
        <is>
          <t>F61</t>
        </is>
      </c>
      <c r="C62" s="99" t="n">
        <v>40</v>
      </c>
      <c r="D62" s="103" t="inlineStr">
        <is>
          <t>FAIL</t>
        </is>
      </c>
      <c r="E62" s="99" t="inlineStr">
        <is>
          <t>chopper fluid &gt; limit</t>
        </is>
      </c>
      <c r="F62" s="105" t="n">
        <v>0</v>
      </c>
      <c r="G62" s="105" t="n">
        <v>27.8332759899597</v>
      </c>
      <c r="H62" s="105" t="n">
        <v>46.537613035678</v>
      </c>
      <c r="I62" s="105" t="n">
        <v>148.456886601536</v>
      </c>
      <c r="J62" s="105" t="n">
        <v>50.1231859012349</v>
      </c>
      <c r="K62" s="105" t="n">
        <v>40</v>
      </c>
      <c r="L62" s="105" t="n">
        <v>94.1639914729939</v>
      </c>
      <c r="M62" s="105" t="n">
        <v>0.874579304893766</v>
      </c>
      <c r="N62" s="105" t="n">
        <v>29.0695468097234</v>
      </c>
      <c r="O62" s="105" t="n">
        <v>-0.0001670351639146</v>
      </c>
      <c r="P62" s="105" t="n">
        <v>97.56809819860101</v>
      </c>
      <c r="Q62" s="105" t="n">
        <v>3.0583178507742</v>
      </c>
      <c r="R62" s="105" t="n">
        <v>0.0064913474928971</v>
      </c>
      <c r="S62" s="105" t="n">
        <v>0.0006527916061145</v>
      </c>
      <c r="T62" s="99" t="n">
        <v>0</v>
      </c>
      <c r="U62" s="99" t="inlineStr">
        <is>
          <t>chopper fluid &gt; 63 C</t>
        </is>
      </c>
    </row>
    <row r="63" ht="15" customHeight="1" s="65">
      <c r="A63" s="99" t="inlineStr">
        <is>
          <t>BTMS_24V_PS_TRIP</t>
        </is>
      </c>
      <c r="B63" s="99" t="inlineStr">
        <is>
          <t>F61</t>
        </is>
      </c>
      <c r="C63" s="99" t="n">
        <v>45</v>
      </c>
      <c r="D63" s="103" t="inlineStr">
        <is>
          <t>FAIL</t>
        </is>
      </c>
      <c r="E63" s="99" t="inlineStr">
        <is>
          <t>chopper fluid &gt; limit</t>
        </is>
      </c>
      <c r="F63" s="105" t="n">
        <v>0</v>
      </c>
      <c r="G63" s="105" t="n">
        <v>28.020171876081</v>
      </c>
      <c r="H63" s="105" t="n">
        <v>51.5383842130452</v>
      </c>
      <c r="I63" s="105" t="n">
        <v>153.302074417054</v>
      </c>
      <c r="J63" s="105" t="n">
        <v>64.0938966621341</v>
      </c>
      <c r="K63" s="105" t="n">
        <v>66.2717523295172</v>
      </c>
      <c r="L63" s="105" t="n">
        <v>99.16178449959919</v>
      </c>
      <c r="M63" s="105" t="n">
        <v>0.872180540863425</v>
      </c>
      <c r="N63" s="105" t="n">
        <v>41.3566277368579</v>
      </c>
      <c r="O63" s="105" t="n">
        <v>-0.0002625031119652</v>
      </c>
      <c r="P63" s="105" t="n">
        <v>97.3974735426599</v>
      </c>
      <c r="Q63" s="105" t="n">
        <v>11.5494456261837</v>
      </c>
      <c r="R63" s="105" t="n">
        <v>0.0146504871672732</v>
      </c>
      <c r="S63" s="105" t="n">
        <v>-0.0003013267163396</v>
      </c>
      <c r="T63" s="99" t="n">
        <v>0</v>
      </c>
      <c r="U63" s="99" t="inlineStr">
        <is>
          <t>chopper fluid &gt; 63 C; inverter fluid &gt; 60 C; condenser loop &gt; 65 C (check valve)</t>
        </is>
      </c>
    </row>
    <row r="64" ht="15" customHeight="1" s="65">
      <c r="A64" s="99" t="inlineStr">
        <is>
          <t>CHARGER_DERATE_50</t>
        </is>
      </c>
      <c r="B64" s="99" t="inlineStr">
        <is>
          <t>TBD</t>
        </is>
      </c>
      <c r="C64" s="99" t="n">
        <v>20</v>
      </c>
      <c r="D64" s="107" t="inlineStr">
        <is>
          <t>OPTIMAL</t>
        </is>
      </c>
      <c r="E64" s="99" t="inlineStr">
        <is>
          <t>none</t>
        </is>
      </c>
      <c r="F64" s="99" t="n"/>
      <c r="G64" s="105" t="n">
        <v>25.23880533849</v>
      </c>
      <c r="H64" s="105" t="n">
        <v>26.405403717129</v>
      </c>
      <c r="I64" s="105" t="n">
        <v>30.7635668630317</v>
      </c>
      <c r="J64" s="105" t="n">
        <v>26.801488432597</v>
      </c>
      <c r="K64" s="105" t="n">
        <v>20</v>
      </c>
      <c r="L64" s="105" t="n">
        <v>74.1616909561023</v>
      </c>
      <c r="M64" s="105" t="n">
        <v>0.796583778387028</v>
      </c>
      <c r="N64" s="105" t="n">
        <v>10.4206505261076</v>
      </c>
      <c r="O64" s="105" t="n">
        <v>-0.07947616986184861</v>
      </c>
      <c r="P64" s="105" t="n">
        <v>0</v>
      </c>
      <c r="Q64" s="105" t="n">
        <v>0</v>
      </c>
      <c r="R64" s="105" t="n">
        <v>-0.733699129039678</v>
      </c>
      <c r="S64" s="105" t="n">
        <v>0</v>
      </c>
      <c r="T64" s="99" t="n">
        <v>0</v>
      </c>
      <c r="U64" s="99" t="n"/>
    </row>
    <row r="65" ht="15" customHeight="1" s="65">
      <c r="A65" s="99" t="inlineStr">
        <is>
          <t>CHARGER_DERATE_50</t>
        </is>
      </c>
      <c r="B65" s="99" t="inlineStr">
        <is>
          <t>TBD</t>
        </is>
      </c>
      <c r="C65" s="99" t="n">
        <v>40</v>
      </c>
      <c r="D65" s="107" t="inlineStr">
        <is>
          <t>OPTIMAL</t>
        </is>
      </c>
      <c r="E65" s="99" t="inlineStr">
        <is>
          <t>none</t>
        </is>
      </c>
      <c r="F65" s="99" t="n"/>
      <c r="G65" s="105" t="n">
        <v>27.1388732683361</v>
      </c>
      <c r="H65" s="105" t="n">
        <v>46.5506254402559</v>
      </c>
      <c r="I65" s="105" t="n">
        <v>50.888788402935</v>
      </c>
      <c r="J65" s="105" t="n">
        <v>47.0648680504607</v>
      </c>
      <c r="K65" s="105" t="n">
        <v>40</v>
      </c>
      <c r="L65" s="105" t="n">
        <v>94.1633386813878</v>
      </c>
      <c r="M65" s="105" t="n">
        <v>0.793204375047067</v>
      </c>
      <c r="N65" s="105" t="n">
        <v>27.4365233109062</v>
      </c>
      <c r="O65" s="105" t="n">
        <v>-0.0815419650106141</v>
      </c>
      <c r="P65" s="105" t="n">
        <v>0</v>
      </c>
      <c r="Q65" s="105" t="n">
        <v>0</v>
      </c>
      <c r="R65" s="105" t="n">
        <v>-0.687911374130749</v>
      </c>
      <c r="S65" s="105" t="n">
        <v>0</v>
      </c>
      <c r="T65" s="99" t="n">
        <v>0</v>
      </c>
      <c r="U65" s="99" t="n"/>
    </row>
    <row r="66" ht="15" customHeight="1" s="65">
      <c r="A66" s="99" t="inlineStr">
        <is>
          <t>CHARGER_DERATE_50</t>
        </is>
      </c>
      <c r="B66" s="99" t="inlineStr">
        <is>
          <t>TBD</t>
        </is>
      </c>
      <c r="C66" s="99" t="n">
        <v>45</v>
      </c>
      <c r="D66" s="107" t="inlineStr">
        <is>
          <t>OPTIMAL</t>
        </is>
      </c>
      <c r="E66" s="99" t="inlineStr">
        <is>
          <t>none</t>
        </is>
      </c>
      <c r="F66" s="99" t="n"/>
      <c r="G66" s="105" t="n">
        <v>27.6257804116578</v>
      </c>
      <c r="H66" s="105" t="n">
        <v>51.5511819746135</v>
      </c>
      <c r="I66" s="105" t="n">
        <v>55.9093451244651</v>
      </c>
      <c r="J66" s="105" t="n">
        <v>52.0654245848183</v>
      </c>
      <c r="K66" s="105" t="n">
        <v>45</v>
      </c>
      <c r="L66" s="105" t="n">
        <v>99.1620858263155</v>
      </c>
      <c r="M66" s="105" t="n">
        <v>0.792836437508801</v>
      </c>
      <c r="N66" s="105" t="n">
        <v>29.317150505205</v>
      </c>
      <c r="O66" s="105" t="n">
        <v>-0.07960660646658969</v>
      </c>
      <c r="P66" s="105" t="n">
        <v>0.0047442500709991</v>
      </c>
      <c r="Q66" s="105" t="n">
        <v>-0.4790264511321</v>
      </c>
      <c r="R66" s="105" t="n">
        <v>-0.379740977255949</v>
      </c>
      <c r="S66" s="105" t="n">
        <v>0</v>
      </c>
      <c r="T66" s="99" t="n">
        <v>0</v>
      </c>
      <c r="U66" s="99" t="n"/>
    </row>
    <row r="67" ht="15" customHeight="1" s="65">
      <c r="A67" s="99" t="inlineStr">
        <is>
          <t>CLASS_A_GENERIC</t>
        </is>
      </c>
      <c r="B67" s="99" t="inlineStr">
        <is>
          <t>F46</t>
        </is>
      </c>
      <c r="C67" s="99" t="n">
        <v>20</v>
      </c>
      <c r="D67" s="120" t="inlineStr">
        <is>
          <t>DERATED</t>
        </is>
      </c>
      <c r="E67" s="99" t="inlineStr">
        <is>
          <t>traction blocked (state)</t>
        </is>
      </c>
      <c r="F67" s="105" t="n">
        <v>0</v>
      </c>
      <c r="G67" s="105" t="n">
        <v>25.0200996918709</v>
      </c>
      <c r="H67" s="105" t="n">
        <v>26.3935048410041</v>
      </c>
      <c r="I67" s="105" t="n">
        <v>30.6216634566209</v>
      </c>
      <c r="J67" s="105" t="n">
        <v>26.7895895564721</v>
      </c>
      <c r="K67" s="105" t="n">
        <v>20</v>
      </c>
      <c r="L67" s="105" t="n">
        <v>45.4781912290218</v>
      </c>
      <c r="M67" s="105" t="n">
        <v>0.84483533009342</v>
      </c>
      <c r="N67" s="105" t="n">
        <v>10.4206505261076</v>
      </c>
      <c r="O67" s="105" t="n">
        <v>-0.0312246181554563</v>
      </c>
      <c r="P67" s="105" t="n">
        <v>-0.141903406410805</v>
      </c>
      <c r="Q67" s="105" t="n">
        <v>-0.0118988761248993</v>
      </c>
      <c r="R67" s="105" t="n">
        <v>-0.952404775658806</v>
      </c>
      <c r="S67" s="105" t="n">
        <v>-28.6834997270805</v>
      </c>
      <c r="T67" s="99" t="n">
        <v>1</v>
      </c>
      <c r="U67" s="99" t="inlineStr">
        <is>
          <t>speed not held</t>
        </is>
      </c>
    </row>
    <row r="68" ht="15" customHeight="1" s="65">
      <c r="A68" s="99" t="inlineStr">
        <is>
          <t>CLASS_A_GENERIC</t>
        </is>
      </c>
      <c r="B68" s="99" t="inlineStr">
        <is>
          <t>F46</t>
        </is>
      </c>
      <c r="C68" s="99" t="n">
        <v>40</v>
      </c>
      <c r="D68" s="120" t="inlineStr">
        <is>
          <t>DERATED</t>
        </is>
      </c>
      <c r="E68" s="99" t="inlineStr">
        <is>
          <t>traction blocked (state)</t>
        </is>
      </c>
      <c r="F68" s="105" t="n">
        <v>0</v>
      </c>
      <c r="G68" s="105" t="n">
        <v>26.5606845061852</v>
      </c>
      <c r="H68" s="105" t="n">
        <v>46.537613035678</v>
      </c>
      <c r="I68" s="105" t="n">
        <v>50.7657709245278</v>
      </c>
      <c r="J68" s="105" t="n">
        <v>47.0518556458828</v>
      </c>
      <c r="K68" s="105" t="n">
        <v>40</v>
      </c>
      <c r="L68" s="105" t="n">
        <v>65.4785135790202</v>
      </c>
      <c r="M68" s="105" t="n">
        <v>0.842551317477123</v>
      </c>
      <c r="N68" s="105" t="n">
        <v>21.8837928648024</v>
      </c>
      <c r="O68" s="105" t="n">
        <v>-0.032195022580558</v>
      </c>
      <c r="P68" s="105" t="n">
        <v>-0.123017478407199</v>
      </c>
      <c r="Q68" s="105" t="n">
        <v>-0.0130124045778999</v>
      </c>
      <c r="R68" s="105" t="n">
        <v>-1.26610013628164</v>
      </c>
      <c r="S68" s="105" t="n">
        <v>-28.6848251023677</v>
      </c>
      <c r="T68" s="99" t="n">
        <v>1</v>
      </c>
      <c r="U68" s="99" t="inlineStr">
        <is>
          <t>speed not held</t>
        </is>
      </c>
    </row>
    <row r="69" ht="15" customHeight="1" s="65">
      <c r="A69" s="99" t="inlineStr">
        <is>
          <t>CLASS_A_GENERIC</t>
        </is>
      </c>
      <c r="B69" s="99" t="inlineStr">
        <is>
          <t>F46</t>
        </is>
      </c>
      <c r="C69" s="99" t="n">
        <v>45</v>
      </c>
      <c r="D69" s="120" t="inlineStr">
        <is>
          <t>DERATED</t>
        </is>
      </c>
      <c r="E69" s="99" t="inlineStr">
        <is>
          <t>traction blocked (state)</t>
        </is>
      </c>
      <c r="F69" s="105" t="n">
        <v>0</v>
      </c>
      <c r="G69" s="105" t="n">
        <v>27.0515965729557</v>
      </c>
      <c r="H69" s="105" t="n">
        <v>51.5383842130452</v>
      </c>
      <c r="I69" s="105" t="n">
        <v>55.7665424375085</v>
      </c>
      <c r="J69" s="105" t="n">
        <v>52.05262682325</v>
      </c>
      <c r="K69" s="105" t="n">
        <v>45</v>
      </c>
      <c r="L69" s="105" t="n">
        <v>70.47902228649291</v>
      </c>
      <c r="M69" s="105" t="n">
        <v>0.841071231433979</v>
      </c>
      <c r="N69" s="105" t="n">
        <v>29.317150505205</v>
      </c>
      <c r="O69" s="105" t="n">
        <v>-0.0313718125414111</v>
      </c>
      <c r="P69" s="105" t="n">
        <v>-0.138058436885594</v>
      </c>
      <c r="Q69" s="105" t="n">
        <v>-0.491824212700401</v>
      </c>
      <c r="R69" s="105" t="n">
        <v>-0.953924815958032</v>
      </c>
      <c r="S69" s="105" t="n">
        <v>-28.6830635398226</v>
      </c>
      <c r="T69" s="99" t="n">
        <v>1</v>
      </c>
      <c r="U69" s="99" t="inlineStr">
        <is>
          <t>speed not held</t>
        </is>
      </c>
    </row>
    <row r="70" ht="15" customHeight="1" s="65">
      <c r="A70" s="99" t="inlineStr">
        <is>
          <t>COND_FAN_FAIL</t>
        </is>
      </c>
      <c r="B70" s="99" t="inlineStr">
        <is>
          <t>F55</t>
        </is>
      </c>
      <c r="C70" s="99" t="n">
        <v>20</v>
      </c>
      <c r="D70" s="107" t="inlineStr">
        <is>
          <t>OPTIMAL</t>
        </is>
      </c>
      <c r="E70" s="99" t="inlineStr">
        <is>
          <t>none</t>
        </is>
      </c>
      <c r="F70" s="99" t="n"/>
      <c r="G70" s="105" t="n">
        <v>25.9725049206861</v>
      </c>
      <c r="H70" s="105" t="n">
        <v>26.4054034229942</v>
      </c>
      <c r="I70" s="105" t="n">
        <v>30.7635665690891</v>
      </c>
      <c r="J70" s="105" t="n">
        <v>26.8014881384622</v>
      </c>
      <c r="K70" s="105" t="n">
        <v>20</v>
      </c>
      <c r="L70" s="105" t="n">
        <v>74.1617637109497</v>
      </c>
      <c r="M70" s="105" t="n">
        <v>0.876060031990517</v>
      </c>
      <c r="N70" s="105" t="n">
        <v>10.4206505261076</v>
      </c>
      <c r="O70" s="105" t="n">
        <v>8.37416406218594e-08</v>
      </c>
      <c r="P70" s="105" t="n">
        <v>-2.93942601814479e-07</v>
      </c>
      <c r="Q70" s="105" t="n">
        <v>-2.94134800071788e-07</v>
      </c>
      <c r="R70" s="105" t="n">
        <v>4.53156417279388e-07</v>
      </c>
      <c r="S70" s="105" t="n">
        <v>7.27548473378192e-05</v>
      </c>
      <c r="T70" s="99" t="n">
        <v>0</v>
      </c>
      <c r="U70" s="99" t="n"/>
    </row>
    <row r="71" ht="15" customHeight="1" s="65">
      <c r="A71" s="99" t="inlineStr">
        <is>
          <t>COND_FAN_FAIL</t>
        </is>
      </c>
      <c r="B71" s="99" t="inlineStr">
        <is>
          <t>F55</t>
        </is>
      </c>
      <c r="C71" s="99" t="n">
        <v>40</v>
      </c>
      <c r="D71" s="107" t="inlineStr">
        <is>
          <t>OPTIMAL</t>
        </is>
      </c>
      <c r="E71" s="99" t="inlineStr">
        <is>
          <t>none</t>
        </is>
      </c>
      <c r="F71" s="99" t="n"/>
      <c r="G71" s="105" t="n">
        <v>27.826772854742</v>
      </c>
      <c r="H71" s="105" t="n">
        <v>46.5506243434135</v>
      </c>
      <c r="I71" s="105" t="n">
        <v>50.8887873057267</v>
      </c>
      <c r="J71" s="105" t="n">
        <v>47.0648669536182</v>
      </c>
      <c r="K71" s="105" t="n">
        <v>40</v>
      </c>
      <c r="L71" s="105" t="n">
        <v>94.1617965948233</v>
      </c>
      <c r="M71" s="105" t="n">
        <v>0.874746554160473</v>
      </c>
      <c r="N71" s="105" t="n">
        <v>27.7690216327823</v>
      </c>
      <c r="O71" s="105" t="n">
        <v>2.14102791828985e-07</v>
      </c>
      <c r="P71" s="105" t="n">
        <v>-1.09720829755133e-06</v>
      </c>
      <c r="Q71" s="105" t="n">
        <v>-1.09684250304554e-06</v>
      </c>
      <c r="R71" s="105" t="n">
        <v>-1.17877247589604e-05</v>
      </c>
      <c r="S71" s="105" t="n">
        <v>-0.0015420865644841</v>
      </c>
      <c r="T71" s="99" t="n">
        <v>0</v>
      </c>
      <c r="U71" s="99" t="n"/>
    </row>
    <row r="72" ht="15" customHeight="1" s="65">
      <c r="A72" s="99" t="inlineStr">
        <is>
          <t>COND_FAN_FAIL</t>
        </is>
      </c>
      <c r="B72" s="99" t="inlineStr">
        <is>
          <t>F55</t>
        </is>
      </c>
      <c r="C72" s="99" t="n">
        <v>45</v>
      </c>
      <c r="D72" s="103" t="inlineStr">
        <is>
          <t>FAIL</t>
        </is>
      </c>
      <c r="E72" s="99" t="inlineStr">
        <is>
          <t>condenser loop &gt; limit</t>
        </is>
      </c>
      <c r="F72" s="105" t="n">
        <v>2.04861111111111</v>
      </c>
      <c r="G72" s="105" t="n">
        <v>28.0055852595008</v>
      </c>
      <c r="H72" s="105" t="n">
        <v>51.5903065531304</v>
      </c>
      <c r="I72" s="105" t="n">
        <v>55.9078477000403</v>
      </c>
      <c r="J72" s="105" t="n">
        <v>52.4058210135801</v>
      </c>
      <c r="K72" s="105" t="n">
        <v>65.95451476378641</v>
      </c>
      <c r="L72" s="105" t="n">
        <v>99.16432002283609</v>
      </c>
      <c r="M72" s="105" t="n">
        <v>0.874087320125653</v>
      </c>
      <c r="N72" s="105" t="n">
        <v>31.7833920125483</v>
      </c>
      <c r="O72" s="105" t="n">
        <v>0.0016442761502629</v>
      </c>
      <c r="P72" s="105" t="n">
        <v>0.00324682564620105</v>
      </c>
      <c r="Q72" s="105" t="n">
        <v>-0.138630022370307</v>
      </c>
      <c r="R72" s="105" t="n">
        <v>6.38705870414924e-05</v>
      </c>
      <c r="S72" s="105" t="n">
        <v>0.0022341965206464</v>
      </c>
      <c r="T72" s="99" t="n">
        <v>0</v>
      </c>
      <c r="U72" s="99" t="inlineStr">
        <is>
          <t>condenser loop &gt; 65 C (check valve)</t>
        </is>
      </c>
    </row>
    <row r="73" ht="15" customHeight="1" s="65">
      <c r="A73" s="99" t="inlineStr">
        <is>
          <t>ESTOP</t>
        </is>
      </c>
      <c r="B73" s="99" t="inlineStr">
        <is>
          <t>TBD</t>
        </is>
      </c>
      <c r="C73" s="99" t="n">
        <v>20</v>
      </c>
      <c r="D73" s="120" t="inlineStr">
        <is>
          <t>DERATED</t>
        </is>
      </c>
      <c r="E73" s="99" t="inlineStr">
        <is>
          <t>traction blocked (state)</t>
        </is>
      </c>
      <c r="F73" s="105" t="n">
        <v>0</v>
      </c>
      <c r="G73" s="105" t="n">
        <v>25.0200996918709</v>
      </c>
      <c r="H73" s="105" t="n">
        <v>26.3935048410041</v>
      </c>
      <c r="I73" s="105" t="n">
        <v>30.6216634566209</v>
      </c>
      <c r="J73" s="105" t="n">
        <v>26.7895895564721</v>
      </c>
      <c r="K73" s="105" t="n">
        <v>20</v>
      </c>
      <c r="L73" s="105" t="n">
        <v>45.4781908373292</v>
      </c>
      <c r="M73" s="105" t="n">
        <v>0.847425401495871</v>
      </c>
      <c r="N73" s="105" t="n">
        <v>1.73516689514397</v>
      </c>
      <c r="O73" s="105" t="n">
        <v>-0.0286345467530054</v>
      </c>
      <c r="P73" s="105" t="n">
        <v>-0.141903406410805</v>
      </c>
      <c r="Q73" s="105" t="n">
        <v>-0.0118988761248993</v>
      </c>
      <c r="R73" s="105" t="n">
        <v>-0.952404775658806</v>
      </c>
      <c r="S73" s="105" t="n">
        <v>-28.6835001187731</v>
      </c>
      <c r="T73" s="99" t="n">
        <v>1</v>
      </c>
      <c r="U73" s="99" t="inlineStr">
        <is>
          <t>speed not held</t>
        </is>
      </c>
    </row>
    <row r="74" ht="15" customHeight="1" s="65">
      <c r="A74" s="99" t="inlineStr">
        <is>
          <t>ESTOP</t>
        </is>
      </c>
      <c r="B74" s="99" t="inlineStr">
        <is>
          <t>TBD</t>
        </is>
      </c>
      <c r="C74" s="99" t="n">
        <v>40</v>
      </c>
      <c r="D74" s="120" t="inlineStr">
        <is>
          <t>DERATED</t>
        </is>
      </c>
      <c r="E74" s="99" t="inlineStr">
        <is>
          <t>traction blocked (state)</t>
        </is>
      </c>
      <c r="F74" s="105" t="n">
        <v>0</v>
      </c>
      <c r="G74" s="105" t="n">
        <v>26.5605886593684</v>
      </c>
      <c r="H74" s="105" t="n">
        <v>46.537613035678</v>
      </c>
      <c r="I74" s="105" t="n">
        <v>50.7657709245278</v>
      </c>
      <c r="J74" s="105" t="n">
        <v>47.0518556458828</v>
      </c>
      <c r="K74" s="105" t="n">
        <v>40</v>
      </c>
      <c r="L74" s="105" t="n">
        <v>65.4785132133423</v>
      </c>
      <c r="M74" s="105" t="n">
        <v>0.846846248932335</v>
      </c>
      <c r="N74" s="105" t="n">
        <v>4.63406361397626</v>
      </c>
      <c r="O74" s="105" t="n">
        <v>-0.0279000911253462</v>
      </c>
      <c r="P74" s="105" t="n">
        <v>-0.123017478407199</v>
      </c>
      <c r="Q74" s="105" t="n">
        <v>-0.0130124045778999</v>
      </c>
      <c r="R74" s="105" t="n">
        <v>-1.26619598309844</v>
      </c>
      <c r="S74" s="105" t="n">
        <v>-28.6848254680455</v>
      </c>
      <c r="T74" s="99" t="n">
        <v>1</v>
      </c>
      <c r="U74" s="99" t="inlineStr">
        <is>
          <t>speed not held</t>
        </is>
      </c>
    </row>
    <row r="75" ht="15" customHeight="1" s="65">
      <c r="A75" s="99" t="inlineStr">
        <is>
          <t>ESTOP</t>
        </is>
      </c>
      <c r="B75" s="99" t="inlineStr">
        <is>
          <t>TBD</t>
        </is>
      </c>
      <c r="C75" s="99" t="n">
        <v>45</v>
      </c>
      <c r="D75" s="120" t="inlineStr">
        <is>
          <t>DERATED</t>
        </is>
      </c>
      <c r="E75" s="99" t="inlineStr">
        <is>
          <t>traction blocked (state)</t>
        </is>
      </c>
      <c r="F75" s="105" t="n">
        <v>0</v>
      </c>
      <c r="G75" s="105" t="n">
        <v>27.0514343693706</v>
      </c>
      <c r="H75" s="105" t="n">
        <v>51.5383842130452</v>
      </c>
      <c r="I75" s="105" t="n">
        <v>55.7665424375085</v>
      </c>
      <c r="J75" s="105" t="n">
        <v>52.05262682325</v>
      </c>
      <c r="K75" s="105" t="n">
        <v>45</v>
      </c>
      <c r="L75" s="105" t="n">
        <v>70.47902192292059</v>
      </c>
      <c r="M75" s="105" t="n">
        <v>0.846796712267972</v>
      </c>
      <c r="N75" s="105" t="n">
        <v>4.88166730945794</v>
      </c>
      <c r="O75" s="105" t="n">
        <v>-0.0256463317074186</v>
      </c>
      <c r="P75" s="105" t="n">
        <v>-0.138058436885594</v>
      </c>
      <c r="Q75" s="105" t="n">
        <v>-0.491824212700401</v>
      </c>
      <c r="R75" s="105" t="n">
        <v>-0.954087019543124</v>
      </c>
      <c r="S75" s="105" t="n">
        <v>-28.6830639033949</v>
      </c>
      <c r="T75" s="99" t="n">
        <v>1</v>
      </c>
      <c r="U75" s="99" t="inlineStr">
        <is>
          <t>speed not held</t>
        </is>
      </c>
    </row>
    <row r="76" ht="15" customHeight="1" s="65">
      <c r="A76" s="99" t="inlineStr">
        <is>
          <t>LCC_VMS_COMMS</t>
        </is>
      </c>
      <c r="B76" s="99" t="inlineStr">
        <is>
          <t>F46</t>
        </is>
      </c>
      <c r="C76" s="99" t="n">
        <v>20</v>
      </c>
      <c r="D76" s="120" t="inlineStr">
        <is>
          <t>DERATED</t>
        </is>
      </c>
      <c r="E76" s="99" t="inlineStr">
        <is>
          <t>traction blocked (state)</t>
        </is>
      </c>
      <c r="F76" s="105" t="n">
        <v>0</v>
      </c>
      <c r="G76" s="105" t="n">
        <v>25.0200996918709</v>
      </c>
      <c r="H76" s="105" t="n">
        <v>26.3935048410041</v>
      </c>
      <c r="I76" s="105" t="n">
        <v>30.6216634566209</v>
      </c>
      <c r="J76" s="105" t="n">
        <v>26.7895895564721</v>
      </c>
      <c r="K76" s="105" t="n">
        <v>20</v>
      </c>
      <c r="L76" s="105" t="n">
        <v>45.4781912290218</v>
      </c>
      <c r="M76" s="105" t="n">
        <v>0.84483533009342</v>
      </c>
      <c r="N76" s="105" t="n">
        <v>10.4206505261076</v>
      </c>
      <c r="O76" s="105" t="n">
        <v>-0.0312246181554563</v>
      </c>
      <c r="P76" s="105" t="n">
        <v>-0.141903406410805</v>
      </c>
      <c r="Q76" s="105" t="n">
        <v>-0.0118988761248993</v>
      </c>
      <c r="R76" s="105" t="n">
        <v>-0.952404775658806</v>
      </c>
      <c r="S76" s="105" t="n">
        <v>-28.6834997270805</v>
      </c>
      <c r="T76" s="99" t="n">
        <v>1</v>
      </c>
      <c r="U76" s="99" t="inlineStr">
        <is>
          <t>speed not held</t>
        </is>
      </c>
    </row>
    <row r="77" ht="15" customHeight="1" s="65">
      <c r="A77" s="99" t="inlineStr">
        <is>
          <t>LCC_VMS_COMMS</t>
        </is>
      </c>
      <c r="B77" s="99" t="inlineStr">
        <is>
          <t>F46</t>
        </is>
      </c>
      <c r="C77" s="99" t="n">
        <v>40</v>
      </c>
      <c r="D77" s="120" t="inlineStr">
        <is>
          <t>DERATED</t>
        </is>
      </c>
      <c r="E77" s="99" t="inlineStr">
        <is>
          <t>traction blocked (state)</t>
        </is>
      </c>
      <c r="F77" s="105" t="n">
        <v>0</v>
      </c>
      <c r="G77" s="105" t="n">
        <v>26.5606845061852</v>
      </c>
      <c r="H77" s="105" t="n">
        <v>46.537613035678</v>
      </c>
      <c r="I77" s="105" t="n">
        <v>50.7657709245278</v>
      </c>
      <c r="J77" s="105" t="n">
        <v>47.0518556458828</v>
      </c>
      <c r="K77" s="105" t="n">
        <v>40</v>
      </c>
      <c r="L77" s="105" t="n">
        <v>65.4785135790202</v>
      </c>
      <c r="M77" s="105" t="n">
        <v>0.842551317477123</v>
      </c>
      <c r="N77" s="105" t="n">
        <v>21.8837928648024</v>
      </c>
      <c r="O77" s="105" t="n">
        <v>-0.032195022580558</v>
      </c>
      <c r="P77" s="105" t="n">
        <v>-0.123017478407199</v>
      </c>
      <c r="Q77" s="105" t="n">
        <v>-0.0130124045778999</v>
      </c>
      <c r="R77" s="105" t="n">
        <v>-1.26610013628164</v>
      </c>
      <c r="S77" s="105" t="n">
        <v>-28.6848251023677</v>
      </c>
      <c r="T77" s="99" t="n">
        <v>1</v>
      </c>
      <c r="U77" s="99" t="inlineStr">
        <is>
          <t>speed not held</t>
        </is>
      </c>
    </row>
    <row r="78" ht="15" customHeight="1" s="65">
      <c r="A78" s="99" t="inlineStr">
        <is>
          <t>LCC_VMS_COMMS</t>
        </is>
      </c>
      <c r="B78" s="99" t="inlineStr">
        <is>
          <t>F46</t>
        </is>
      </c>
      <c r="C78" s="99" t="n">
        <v>45</v>
      </c>
      <c r="D78" s="120" t="inlineStr">
        <is>
          <t>DERATED</t>
        </is>
      </c>
      <c r="E78" s="99" t="inlineStr">
        <is>
          <t>traction blocked (state)</t>
        </is>
      </c>
      <c r="F78" s="105" t="n">
        <v>0</v>
      </c>
      <c r="G78" s="105" t="n">
        <v>27.0515965729557</v>
      </c>
      <c r="H78" s="105" t="n">
        <v>51.5383842130452</v>
      </c>
      <c r="I78" s="105" t="n">
        <v>55.7665424375085</v>
      </c>
      <c r="J78" s="105" t="n">
        <v>52.05262682325</v>
      </c>
      <c r="K78" s="105" t="n">
        <v>45</v>
      </c>
      <c r="L78" s="105" t="n">
        <v>70.47902228649291</v>
      </c>
      <c r="M78" s="105" t="n">
        <v>0.841071231433979</v>
      </c>
      <c r="N78" s="105" t="n">
        <v>29.317150505205</v>
      </c>
      <c r="O78" s="105" t="n">
        <v>-0.0313718125414111</v>
      </c>
      <c r="P78" s="105" t="n">
        <v>-0.138058436885594</v>
      </c>
      <c r="Q78" s="105" t="n">
        <v>-0.491824212700401</v>
      </c>
      <c r="R78" s="105" t="n">
        <v>-0.953924815958032</v>
      </c>
      <c r="S78" s="105" t="n">
        <v>-28.6830635398226</v>
      </c>
      <c r="T78" s="99" t="n">
        <v>1</v>
      </c>
      <c r="U78" s="99" t="inlineStr">
        <is>
          <t>speed not held</t>
        </is>
      </c>
    </row>
    <row r="79" ht="15" customHeight="1" s="65">
      <c r="A79" s="99" t="inlineStr">
        <is>
          <t>MTM_LOSS_1</t>
        </is>
      </c>
      <c r="B79" s="99" t="inlineStr">
        <is>
          <t>F55</t>
        </is>
      </c>
      <c r="C79" s="99" t="n">
        <v>20</v>
      </c>
      <c r="D79" s="107" t="inlineStr">
        <is>
          <t>OPTIMAL</t>
        </is>
      </c>
      <c r="E79" s="99" t="inlineStr">
        <is>
          <t>none</t>
        </is>
      </c>
      <c r="F79" s="99" t="n"/>
      <c r="G79" s="105" t="n">
        <v>25.9725046702191</v>
      </c>
      <c r="H79" s="105" t="n">
        <v>26.4054043339928</v>
      </c>
      <c r="I79" s="105" t="n">
        <v>30.7635674801198</v>
      </c>
      <c r="J79" s="105" t="n">
        <v>26.8014890494608</v>
      </c>
      <c r="K79" s="105" t="n">
        <v>20</v>
      </c>
      <c r="L79" s="105" t="n">
        <v>74.1618404105062</v>
      </c>
      <c r="M79" s="105" t="n">
        <v>0.876059528079463</v>
      </c>
      <c r="N79" s="105" t="n">
        <v>10.4206505261076</v>
      </c>
      <c r="O79" s="105" t="n">
        <v>-4.20169413595239e-07</v>
      </c>
      <c r="P79" s="105" t="n">
        <v>6.17088097953911e-07</v>
      </c>
      <c r="Q79" s="105" t="n">
        <v>6.16863800928513e-07</v>
      </c>
      <c r="R79" s="105" t="n">
        <v>2.02689363959507e-07</v>
      </c>
      <c r="S79" s="105" t="n">
        <v>0.0001494544038678</v>
      </c>
      <c r="T79" s="99" t="n">
        <v>0</v>
      </c>
      <c r="U79" s="99" t="n"/>
    </row>
    <row r="80" ht="15" customHeight="1" s="65">
      <c r="A80" s="99" t="inlineStr">
        <is>
          <t>MTM_LOSS_1</t>
        </is>
      </c>
      <c r="B80" s="99" t="inlineStr">
        <is>
          <t>F55</t>
        </is>
      </c>
      <c r="C80" s="99" t="n">
        <v>40</v>
      </c>
      <c r="D80" s="107" t="inlineStr">
        <is>
          <t>OPTIMAL</t>
        </is>
      </c>
      <c r="E80" s="99" t="inlineStr">
        <is>
          <t>none</t>
        </is>
      </c>
      <c r="F80" s="99" t="n"/>
      <c r="G80" s="105" t="n">
        <v>27.8267776559655</v>
      </c>
      <c r="H80" s="105" t="n">
        <v>46.5506247606997</v>
      </c>
      <c r="I80" s="105" t="n">
        <v>50.8887877231519</v>
      </c>
      <c r="J80" s="105" t="n">
        <v>47.0648673709045</v>
      </c>
      <c r="K80" s="105" t="n">
        <v>40</v>
      </c>
      <c r="L80" s="105" t="n">
        <v>94.1618126601433</v>
      </c>
      <c r="M80" s="105" t="n">
        <v>0.8747471546386379</v>
      </c>
      <c r="N80" s="105" t="n">
        <v>27.7690749030755</v>
      </c>
      <c r="O80" s="105" t="n">
        <v>8.14580956687294e-07</v>
      </c>
      <c r="P80" s="105" t="n">
        <v>-6.79783099144515e-07</v>
      </c>
      <c r="Q80" s="105" t="n">
        <v>-6.79556201532705e-07</v>
      </c>
      <c r="R80" s="105" t="n">
        <v>-6.98650126196299e-06</v>
      </c>
      <c r="S80" s="105" t="n">
        <v>-0.0015260212445582</v>
      </c>
      <c r="T80" s="99" t="n">
        <v>0</v>
      </c>
      <c r="U80" s="99" t="n"/>
    </row>
    <row r="81" ht="15" customHeight="1" s="65">
      <c r="A81" s="99" t="inlineStr">
        <is>
          <t>MTM_LOSS_1</t>
        </is>
      </c>
      <c r="B81" s="99" t="inlineStr">
        <is>
          <t>F55</t>
        </is>
      </c>
      <c r="C81" s="99" t="n">
        <v>45</v>
      </c>
      <c r="D81" s="107" t="inlineStr">
        <is>
          <t>OPTIMAL</t>
        </is>
      </c>
      <c r="E81" s="99" t="inlineStr">
        <is>
          <t>none</t>
        </is>
      </c>
      <c r="F81" s="99" t="n"/>
      <c r="G81" s="105" t="n">
        <v>28.0066100213382</v>
      </c>
      <c r="H81" s="105" t="n">
        <v>51.5976577035603</v>
      </c>
      <c r="I81" s="105" t="n">
        <v>55.9049925248922</v>
      </c>
      <c r="J81" s="105" t="n">
        <v>52.4572106246991</v>
      </c>
      <c r="K81" s="105" t="n">
        <v>61.3992738982196</v>
      </c>
      <c r="L81" s="105" t="n">
        <v>99.16442110782479</v>
      </c>
      <c r="M81" s="105" t="n">
        <v>0.872715408672829</v>
      </c>
      <c r="N81" s="105" t="n">
        <v>38.6736872335706</v>
      </c>
      <c r="O81" s="105" t="n">
        <v>0.0002723646974384</v>
      </c>
      <c r="P81" s="105" t="n">
        <v>0.000391650498102081</v>
      </c>
      <c r="Q81" s="105" t="n">
        <v>-0.087240411251301</v>
      </c>
      <c r="R81" s="105" t="n">
        <v>0.001088632424512</v>
      </c>
      <c r="S81" s="105" t="n">
        <v>0.0023352815093176</v>
      </c>
      <c r="T81" s="99" t="n">
        <v>0</v>
      </c>
      <c r="U81" s="99" t="n"/>
    </row>
    <row r="82" ht="15" customHeight="1" s="65">
      <c r="A82" s="99" t="inlineStr">
        <is>
          <t>MTM_LOSS_2</t>
        </is>
      </c>
      <c r="B82" s="99" t="inlineStr">
        <is>
          <t>F55</t>
        </is>
      </c>
      <c r="C82" s="99" t="n">
        <v>20</v>
      </c>
      <c r="D82" s="107" t="inlineStr">
        <is>
          <t>OPTIMAL</t>
        </is>
      </c>
      <c r="E82" s="99" t="inlineStr">
        <is>
          <t>none</t>
        </is>
      </c>
      <c r="F82" s="99" t="n"/>
      <c r="G82" s="105" t="n">
        <v>25.9725049206861</v>
      </c>
      <c r="H82" s="105" t="n">
        <v>26.4054034229942</v>
      </c>
      <c r="I82" s="105" t="n">
        <v>30.7635665690891</v>
      </c>
      <c r="J82" s="105" t="n">
        <v>26.8014881384622</v>
      </c>
      <c r="K82" s="105" t="n">
        <v>20</v>
      </c>
      <c r="L82" s="105" t="n">
        <v>74.1617637109497</v>
      </c>
      <c r="M82" s="105" t="n">
        <v>0.876060031990517</v>
      </c>
      <c r="N82" s="105" t="n">
        <v>10.4206505261076</v>
      </c>
      <c r="O82" s="105" t="n">
        <v>8.37416406218594e-08</v>
      </c>
      <c r="P82" s="105" t="n">
        <v>-2.93942601814479e-07</v>
      </c>
      <c r="Q82" s="105" t="n">
        <v>-2.94134800071788e-07</v>
      </c>
      <c r="R82" s="105" t="n">
        <v>4.53156417279388e-07</v>
      </c>
      <c r="S82" s="105" t="n">
        <v>7.27548473378192e-05</v>
      </c>
      <c r="T82" s="99" t="n">
        <v>0</v>
      </c>
      <c r="U82" s="99" t="n"/>
    </row>
    <row r="83" ht="15" customHeight="1" s="65">
      <c r="A83" s="99" t="inlineStr">
        <is>
          <t>MTM_LOSS_2</t>
        </is>
      </c>
      <c r="B83" s="99" t="inlineStr">
        <is>
          <t>F55</t>
        </is>
      </c>
      <c r="C83" s="99" t="n">
        <v>40</v>
      </c>
      <c r="D83" s="107" t="inlineStr">
        <is>
          <t>OPTIMAL</t>
        </is>
      </c>
      <c r="E83" s="99" t="inlineStr">
        <is>
          <t>none</t>
        </is>
      </c>
      <c r="F83" s="99" t="n"/>
      <c r="G83" s="105" t="n">
        <v>27.8267841083585</v>
      </c>
      <c r="H83" s="105" t="n">
        <v>46.5506243113884</v>
      </c>
      <c r="I83" s="105" t="n">
        <v>50.8887872736951</v>
      </c>
      <c r="J83" s="105" t="n">
        <v>47.0648669215932</v>
      </c>
      <c r="K83" s="105" t="n">
        <v>40</v>
      </c>
      <c r="L83" s="105" t="n">
        <v>94.16312012151459</v>
      </c>
      <c r="M83" s="105" t="n">
        <v>0.874746333654042</v>
      </c>
      <c r="N83" s="105" t="n">
        <v>27.7692321989066</v>
      </c>
      <c r="O83" s="105" t="n">
        <v>-6.40363895243468e-09</v>
      </c>
      <c r="P83" s="105" t="n">
        <v>-1.12923989803448e-06</v>
      </c>
      <c r="Q83" s="105" t="n">
        <v>-1.12886750258667e-06</v>
      </c>
      <c r="R83" s="105" t="n">
        <v>-5.341082669474421e-07</v>
      </c>
      <c r="S83" s="105" t="n">
        <v>-0.0002185598731898</v>
      </c>
      <c r="T83" s="99" t="n">
        <v>0</v>
      </c>
      <c r="U83" s="99" t="n"/>
    </row>
    <row r="84" ht="15" customHeight="1" s="65">
      <c r="A84" s="99" t="inlineStr">
        <is>
          <t>MTM_LOSS_2</t>
        </is>
      </c>
      <c r="B84" s="99" t="inlineStr">
        <is>
          <t>F55</t>
        </is>
      </c>
      <c r="C84" s="99" t="n">
        <v>45</v>
      </c>
      <c r="D84" s="107" t="inlineStr">
        <is>
          <t>OPTIMAL</t>
        </is>
      </c>
      <c r="E84" s="99" t="inlineStr">
        <is>
          <t>none</t>
        </is>
      </c>
      <c r="F84" s="99" t="n"/>
      <c r="G84" s="105" t="n">
        <v>28.0086831627729</v>
      </c>
      <c r="H84" s="105" t="n">
        <v>51.5878277356964</v>
      </c>
      <c r="I84" s="105" t="n">
        <v>55.9054652050488</v>
      </c>
      <c r="J84" s="105" t="n">
        <v>52.3817129939668</v>
      </c>
      <c r="K84" s="105" t="n">
        <v>56.2713576858738</v>
      </c>
      <c r="L84" s="105" t="n">
        <v>99.1644084717084</v>
      </c>
      <c r="M84" s="105" t="n">
        <v>0.873143580690715</v>
      </c>
      <c r="N84" s="105" t="n">
        <v>36.5179340207477</v>
      </c>
      <c r="O84" s="105" t="n">
        <v>0.0007005367153241</v>
      </c>
      <c r="P84" s="105" t="n">
        <v>0.000864330654700041</v>
      </c>
      <c r="Q84" s="105" t="n">
        <v>-0.162738041983602</v>
      </c>
      <c r="R84" s="105" t="n">
        <v>0.0031617738591762</v>
      </c>
      <c r="S84" s="105" t="n">
        <v>0.0023226453928941</v>
      </c>
      <c r="T84" s="99" t="n">
        <v>0</v>
      </c>
      <c r="U84" s="99" t="n"/>
    </row>
    <row r="85" ht="15" customHeight="1" s="65">
      <c r="A85" s="99" t="inlineStr">
        <is>
          <t>PE_FAN_FAIL</t>
        </is>
      </c>
      <c r="B85" s="99" t="inlineStr">
        <is>
          <t>F54</t>
        </is>
      </c>
      <c r="C85" s="99" t="n">
        <v>20</v>
      </c>
      <c r="D85" s="107" t="inlineStr">
        <is>
          <t>OPTIMAL</t>
        </is>
      </c>
      <c r="E85" s="99" t="inlineStr">
        <is>
          <t>none</t>
        </is>
      </c>
      <c r="F85" s="99" t="n"/>
      <c r="G85" s="105" t="n">
        <v>25.9717623255571</v>
      </c>
      <c r="H85" s="105" t="n">
        <v>51.3280764942472</v>
      </c>
      <c r="I85" s="105" t="n">
        <v>55.5453331913085</v>
      </c>
      <c r="J85" s="105" t="n">
        <v>51.7088103325222</v>
      </c>
      <c r="K85" s="105" t="n">
        <v>20</v>
      </c>
      <c r="L85" s="105" t="n">
        <v>74.1615023678313</v>
      </c>
      <c r="M85" s="105" t="n">
        <v>0.876218746194565</v>
      </c>
      <c r="N85" s="105" t="n">
        <v>8.670650526107631</v>
      </c>
      <c r="O85" s="105" t="n">
        <v>0.0001587979456888</v>
      </c>
      <c r="P85" s="105" t="n">
        <v>24.7817663282768</v>
      </c>
      <c r="Q85" s="105" t="n">
        <v>24.9073218999252</v>
      </c>
      <c r="R85" s="105" t="n">
        <v>-0.0007421419725801</v>
      </c>
      <c r="S85" s="105" t="n">
        <v>-0.0001885882710439</v>
      </c>
      <c r="T85" s="99" t="n">
        <v>0</v>
      </c>
      <c r="U85" s="99" t="n"/>
    </row>
    <row r="86" ht="15" customHeight="1" s="65">
      <c r="A86" s="99" t="inlineStr">
        <is>
          <t>PE_FAN_FAIL</t>
        </is>
      </c>
      <c r="B86" s="99" t="inlineStr">
        <is>
          <t>F54</t>
        </is>
      </c>
      <c r="C86" s="99" t="n">
        <v>40</v>
      </c>
      <c r="D86" s="103" t="inlineStr">
        <is>
          <t>FAIL</t>
        </is>
      </c>
      <c r="E86" s="99" t="inlineStr">
        <is>
          <t>chopper fluid &gt; limit</t>
        </is>
      </c>
      <c r="F86" s="105" t="n">
        <v>0.2275</v>
      </c>
      <c r="G86" s="105" t="n">
        <v>27.8172674397151</v>
      </c>
      <c r="H86" s="105" t="n">
        <v>71.3321701668324</v>
      </c>
      <c r="I86" s="105" t="n">
        <v>75.5494459581253</v>
      </c>
      <c r="J86" s="105" t="n">
        <v>71.7129040051075</v>
      </c>
      <c r="K86" s="105" t="n">
        <v>40</v>
      </c>
      <c r="L86" s="105" t="n">
        <v>94.1616237970738</v>
      </c>
      <c r="M86" s="105" t="n">
        <v>0.876183041686715</v>
      </c>
      <c r="N86" s="105" t="n">
        <v>11.5695468097235</v>
      </c>
      <c r="O86" s="105" t="n">
        <v>0.0014367016290336</v>
      </c>
      <c r="P86" s="105" t="n">
        <v>24.6606575551903</v>
      </c>
      <c r="Q86" s="105" t="n">
        <v>24.6480359546468</v>
      </c>
      <c r="R86" s="105" t="n">
        <v>-0.009517202751680999</v>
      </c>
      <c r="S86" s="105" t="n">
        <v>-0.0017148843139693</v>
      </c>
      <c r="T86" s="99" t="n">
        <v>0</v>
      </c>
      <c r="U86" s="99" t="inlineStr">
        <is>
          <t>charger supply &gt; 55 C; chopper fluid &gt; 63 C; inverter fluid &gt; 60 C</t>
        </is>
      </c>
    </row>
    <row r="87" ht="15" customHeight="1" s="65">
      <c r="A87" s="99" t="inlineStr">
        <is>
          <t>PE_FAN_FAIL</t>
        </is>
      </c>
      <c r="B87" s="99" t="inlineStr">
        <is>
          <t>F54</t>
        </is>
      </c>
      <c r="C87" s="99" t="n">
        <v>45</v>
      </c>
      <c r="D87" s="103" t="inlineStr">
        <is>
          <t>FAIL</t>
        </is>
      </c>
      <c r="E87" s="99" t="inlineStr">
        <is>
          <t>chopper fluid &gt; limit</t>
        </is>
      </c>
      <c r="F87" s="105" t="n">
        <v>0.163888888888889</v>
      </c>
      <c r="G87" s="105" t="n">
        <v>28.0037208879127</v>
      </c>
      <c r="H87" s="105" t="n">
        <v>76.3322347816339</v>
      </c>
      <c r="I87" s="105" t="n">
        <v>80.5495047971786</v>
      </c>
      <c r="J87" s="105" t="n">
        <v>76.9877243643502</v>
      </c>
      <c r="K87" s="105" t="n">
        <v>66.271752325549</v>
      </c>
      <c r="L87" s="105" t="n">
        <v>99.16182530216631</v>
      </c>
      <c r="M87" s="105" t="n">
        <v>0.874052565640566</v>
      </c>
      <c r="N87" s="105" t="n">
        <v>22.5107344825748</v>
      </c>
      <c r="O87" s="105" t="n">
        <v>0.0016095216651759</v>
      </c>
      <c r="P87" s="105" t="n">
        <v>24.6449039227845</v>
      </c>
      <c r="Q87" s="105" t="n">
        <v>24.4432733283998</v>
      </c>
      <c r="R87" s="105" t="n">
        <v>-0.0018005010010711</v>
      </c>
      <c r="S87" s="105" t="n">
        <v>-0.0002605241491551</v>
      </c>
      <c r="T87" s="99" t="n">
        <v>0</v>
      </c>
      <c r="U87" s="99" t="inlineStr">
        <is>
          <t>charger supply &gt; 55 C; chopper fluid &gt; 63 C; inverter fluid &gt; 60 C; condenser loop &gt; 65 C (check valve)</t>
        </is>
      </c>
    </row>
    <row r="88" ht="15" customHeight="1" s="65">
      <c r="A88" s="116" t="inlineStr">
        <is>
          <t>PE_PUMP_1OF3</t>
        </is>
      </c>
      <c r="B88" s="99" t="inlineStr">
        <is>
          <t>F54</t>
        </is>
      </c>
      <c r="C88" s="99" t="n">
        <v>20</v>
      </c>
      <c r="D88" s="107" t="inlineStr">
        <is>
          <t>OPTIMAL</t>
        </is>
      </c>
      <c r="E88" s="99" t="inlineStr">
        <is>
          <t>none</t>
        </is>
      </c>
      <c r="F88" s="99" t="n"/>
      <c r="G88" s="105" t="n">
        <v>25.9725044675297</v>
      </c>
      <c r="H88" s="105" t="n">
        <v>26.405403717129</v>
      </c>
      <c r="I88" s="105" t="n">
        <v>31.1</v>
      </c>
      <c r="J88" s="105" t="n">
        <v>27</v>
      </c>
      <c r="K88" s="105" t="n">
        <v>20</v>
      </c>
      <c r="L88" s="105" t="n">
        <v>74.1616909561023</v>
      </c>
      <c r="M88" s="105" t="n">
        <v>0.876059948248876</v>
      </c>
      <c r="N88" s="105" t="n">
        <v>10.4206505261076</v>
      </c>
      <c r="O88" s="105" t="n">
        <v>0</v>
      </c>
      <c r="P88" s="105" t="n">
        <v>0.336433136968299</v>
      </c>
      <c r="Q88" s="105" t="n">
        <v>0.198511567402999</v>
      </c>
      <c r="R88" s="105" t="n">
        <v>0</v>
      </c>
      <c r="S88" s="105" t="n">
        <v>0</v>
      </c>
      <c r="T88" s="99" t="n">
        <v>0</v>
      </c>
      <c r="U88" s="99" t="n"/>
    </row>
    <row r="89" ht="15" customHeight="1" s="65">
      <c r="A89" s="116" t="inlineStr">
        <is>
          <t>PE_PUMP_1OF3</t>
        </is>
      </c>
      <c r="B89" s="99" t="inlineStr">
        <is>
          <t>F54</t>
        </is>
      </c>
      <c r="C89" s="99" t="n">
        <v>40</v>
      </c>
      <c r="D89" s="107" t="inlineStr">
        <is>
          <t>OPTIMAL</t>
        </is>
      </c>
      <c r="E89" s="99" t="inlineStr">
        <is>
          <t>none</t>
        </is>
      </c>
      <c r="F89" s="99" t="n"/>
      <c r="G89" s="105" t="n">
        <v>27.8267846424668</v>
      </c>
      <c r="H89" s="105" t="n">
        <v>46.5506254402559</v>
      </c>
      <c r="I89" s="105" t="n">
        <v>51.3</v>
      </c>
      <c r="J89" s="105" t="n">
        <v>47.3</v>
      </c>
      <c r="K89" s="105" t="n">
        <v>40</v>
      </c>
      <c r="L89" s="105" t="n">
        <v>94.1633386813878</v>
      </c>
      <c r="M89" s="105" t="n">
        <v>0.874746340057681</v>
      </c>
      <c r="N89" s="105" t="n">
        <v>27.7692460847779</v>
      </c>
      <c r="O89" s="105" t="n">
        <v>0</v>
      </c>
      <c r="P89" s="105" t="n">
        <v>0.411211597064998</v>
      </c>
      <c r="Q89" s="105" t="n">
        <v>0.235131949539294</v>
      </c>
      <c r="R89" s="105" t="n">
        <v>0</v>
      </c>
      <c r="S89" s="105" t="n">
        <v>0</v>
      </c>
      <c r="T89" s="99" t="n">
        <v>0</v>
      </c>
      <c r="U89" s="99" t="n"/>
    </row>
    <row r="90" ht="15" customHeight="1" s="65">
      <c r="A90" s="116" t="inlineStr">
        <is>
          <t>PE_PUMP_1OF3</t>
        </is>
      </c>
      <c r="B90" s="99" t="inlineStr">
        <is>
          <t>F54</t>
        </is>
      </c>
      <c r="C90" s="99" t="n">
        <v>45</v>
      </c>
      <c r="D90" s="103" t="inlineStr">
        <is>
          <t>FAIL</t>
        </is>
      </c>
      <c r="E90" s="99" t="inlineStr">
        <is>
          <t>condenser loop &gt; limit</t>
        </is>
      </c>
      <c r="F90" s="105" t="n">
        <v>2.07694444444444</v>
      </c>
      <c r="G90" s="105" t="n">
        <v>28.0055213889137</v>
      </c>
      <c r="H90" s="105" t="n">
        <v>51.6076213524985</v>
      </c>
      <c r="I90" s="105" t="n">
        <v>56.3</v>
      </c>
      <c r="J90" s="105" t="n">
        <v>52.8</v>
      </c>
      <c r="K90" s="105" t="n">
        <v>66.2717523257601</v>
      </c>
      <c r="L90" s="105" t="n">
        <v>99.1620858263155</v>
      </c>
      <c r="M90" s="105" t="n">
        <v>0.872443043975391</v>
      </c>
      <c r="N90" s="105" t="n">
        <v>40.0357434127248</v>
      </c>
      <c r="O90" s="105" t="n">
        <v>0</v>
      </c>
      <c r="P90" s="105" t="n">
        <v>0.395399125605898</v>
      </c>
      <c r="Q90" s="105" t="n">
        <v>0.255548964049595</v>
      </c>
      <c r="R90" s="105" t="n">
        <v>0</v>
      </c>
      <c r="S90" s="105" t="n">
        <v>0</v>
      </c>
      <c r="T90" s="99" t="n">
        <v>0</v>
      </c>
      <c r="U90" s="99" t="inlineStr">
        <is>
          <t>condenser loop &gt; 65 C (check valve)</t>
        </is>
      </c>
    </row>
    <row r="91" ht="15" customHeight="1" s="65">
      <c r="A91" s="99" t="inlineStr">
        <is>
          <t>PE_PUMP_FAIL</t>
        </is>
      </c>
      <c r="B91" s="99" t="inlineStr">
        <is>
          <t>F54</t>
        </is>
      </c>
      <c r="C91" s="99" t="n">
        <v>20</v>
      </c>
      <c r="D91" s="103" t="inlineStr">
        <is>
          <t>FAIL</t>
        </is>
      </c>
      <c r="E91" s="99" t="inlineStr">
        <is>
          <t>chopper fluid &gt; limit</t>
        </is>
      </c>
      <c r="F91" s="105" t="n">
        <v>0</v>
      </c>
      <c r="G91" s="105" t="n">
        <v>25.9753911558315</v>
      </c>
      <c r="H91" s="105" t="n">
        <v>26.3935048410041</v>
      </c>
      <c r="I91" s="105" t="n">
        <v>128.44725405224</v>
      </c>
      <c r="J91" s="105" t="n">
        <v>29.6956657523011</v>
      </c>
      <c r="K91" s="105" t="n">
        <v>20</v>
      </c>
      <c r="L91" s="105" t="n">
        <v>74.16128337779701</v>
      </c>
      <c r="M91" s="105" t="n">
        <v>0.875215010444013</v>
      </c>
      <c r="N91" s="105" t="n">
        <v>20.2964253260444</v>
      </c>
      <c r="O91" s="105" t="n">
        <v>-0.0008449378048636</v>
      </c>
      <c r="P91" s="105" t="n">
        <v>97.6836871892083</v>
      </c>
      <c r="Q91" s="105" t="n">
        <v>2.8941773197041</v>
      </c>
      <c r="R91" s="105" t="n">
        <v>0.0028866883018281</v>
      </c>
      <c r="S91" s="105" t="n">
        <v>-0.0004075783053849</v>
      </c>
      <c r="T91" s="99" t="n">
        <v>0</v>
      </c>
      <c r="U91" s="99" t="inlineStr">
        <is>
          <t>chopper fluid &gt; 63 C</t>
        </is>
      </c>
    </row>
    <row r="92" ht="15" customHeight="1" s="65">
      <c r="A92" s="99" t="inlineStr">
        <is>
          <t>PE_PUMP_FAIL</t>
        </is>
      </c>
      <c r="B92" s="99" t="inlineStr">
        <is>
          <t>F54</t>
        </is>
      </c>
      <c r="C92" s="99" t="n">
        <v>40</v>
      </c>
      <c r="D92" s="103" t="inlineStr">
        <is>
          <t>FAIL</t>
        </is>
      </c>
      <c r="E92" s="99" t="inlineStr">
        <is>
          <t>chopper fluid &gt; limit</t>
        </is>
      </c>
      <c r="F92" s="105" t="n">
        <v>0</v>
      </c>
      <c r="G92" s="105" t="n">
        <v>27.8272726500136</v>
      </c>
      <c r="H92" s="105" t="n">
        <v>46.537613035678</v>
      </c>
      <c r="I92" s="105" t="n">
        <v>148.388175572289</v>
      </c>
      <c r="J92" s="105" t="n">
        <v>50.1231859012349</v>
      </c>
      <c r="K92" s="105" t="n">
        <v>40</v>
      </c>
      <c r="L92" s="105" t="n">
        <v>94.1618538869524</v>
      </c>
      <c r="M92" s="105" t="n">
        <v>0.87457937228293</v>
      </c>
      <c r="N92" s="105" t="n">
        <v>29.0695468097233</v>
      </c>
      <c r="O92" s="105" t="n">
        <v>-0.0001669677747505</v>
      </c>
      <c r="P92" s="105" t="n">
        <v>97.49938716935399</v>
      </c>
      <c r="Q92" s="105" t="n">
        <v>3.0583178507742</v>
      </c>
      <c r="R92" s="105" t="n">
        <v>0.0004880075467781</v>
      </c>
      <c r="S92" s="105" t="n">
        <v>-0.0014847944354414</v>
      </c>
      <c r="T92" s="99" t="n">
        <v>0</v>
      </c>
      <c r="U92" s="99" t="inlineStr">
        <is>
          <t>chopper fluid &gt; 63 C</t>
        </is>
      </c>
    </row>
    <row r="93" ht="15" customHeight="1" s="65">
      <c r="A93" s="99" t="inlineStr">
        <is>
          <t>PE_PUMP_FAIL</t>
        </is>
      </c>
      <c r="B93" s="99" t="inlineStr">
        <is>
          <t>F54</t>
        </is>
      </c>
      <c r="C93" s="99" t="n">
        <v>45</v>
      </c>
      <c r="D93" s="103" t="inlineStr">
        <is>
          <t>FAIL</t>
        </is>
      </c>
      <c r="E93" s="99" t="inlineStr">
        <is>
          <t>chopper fluid &gt; limit</t>
        </is>
      </c>
      <c r="F93" s="105" t="n">
        <v>0</v>
      </c>
      <c r="G93" s="105" t="n">
        <v>28.0055299375563</v>
      </c>
      <c r="H93" s="105" t="n">
        <v>51.5383842130452</v>
      </c>
      <c r="I93" s="105" t="n">
        <v>152.781780181544</v>
      </c>
      <c r="J93" s="105" t="n">
        <v>64.09490555933721</v>
      </c>
      <c r="K93" s="105" t="n">
        <v>66.2717523257601</v>
      </c>
      <c r="L93" s="105" t="n">
        <v>99.1641306807565</v>
      </c>
      <c r="M93" s="105" t="n">
        <v>0.872443106242728</v>
      </c>
      <c r="N93" s="105" t="n">
        <v>40.0357430693109</v>
      </c>
      <c r="O93" s="105" t="n">
        <v>6.22673377304039e-08</v>
      </c>
      <c r="P93" s="105" t="n">
        <v>96.8771793071499</v>
      </c>
      <c r="Q93" s="105" t="n">
        <v>11.5504545233868</v>
      </c>
      <c r="R93" s="105" t="n">
        <v>8.548642597361321e-06</v>
      </c>
      <c r="S93" s="105" t="n">
        <v>0.0020448544410101</v>
      </c>
      <c r="T93" s="99" t="n">
        <v>0</v>
      </c>
      <c r="U93" s="99" t="inlineStr">
        <is>
          <t>chopper fluid &gt; 63 C; inverter fluid &gt; 60 C; condenser loop &gt; 65 C (check valve)</t>
        </is>
      </c>
    </row>
    <row r="94" ht="15" customHeight="1" s="65">
      <c r="A94" s="99" t="inlineStr">
        <is>
          <t>RACK_OPEN</t>
        </is>
      </c>
      <c r="B94" s="99" t="inlineStr">
        <is>
          <t>TBD</t>
        </is>
      </c>
      <c r="C94" s="99" t="n">
        <v>20</v>
      </c>
      <c r="D94" s="107" t="inlineStr">
        <is>
          <t>OPTIMAL</t>
        </is>
      </c>
      <c r="E94" s="99" t="inlineStr">
        <is>
          <t>none</t>
        </is>
      </c>
      <c r="F94" s="99" t="n"/>
      <c r="G94" s="105" t="n">
        <v>25.9432361839754</v>
      </c>
      <c r="H94" s="105" t="n">
        <v>26.4054038651799</v>
      </c>
      <c r="I94" s="105" t="n">
        <v>30.7635670408707</v>
      </c>
      <c r="J94" s="105" t="n">
        <v>26.8014885806479</v>
      </c>
      <c r="K94" s="105" t="n">
        <v>20</v>
      </c>
      <c r="L94" s="105" t="n">
        <v>74.161859276001</v>
      </c>
      <c r="M94" s="105" t="n">
        <v>0.861053851044592</v>
      </c>
      <c r="N94" s="105" t="n">
        <v>10.4206505261076</v>
      </c>
      <c r="O94" s="105" t="n">
        <v>-0.0150060972042846</v>
      </c>
      <c r="P94" s="105" t="n">
        <v>1.77838998638435e-07</v>
      </c>
      <c r="Q94" s="105" t="n">
        <v>1.4805090131631e-07</v>
      </c>
      <c r="R94" s="105" t="n">
        <v>-0.029268283554245</v>
      </c>
      <c r="S94" s="105" t="n">
        <v>0.0001683198986484</v>
      </c>
      <c r="T94" s="99" t="n">
        <v>0</v>
      </c>
      <c r="U94" s="99" t="n"/>
    </row>
    <row r="95" ht="15" customHeight="1" s="65">
      <c r="A95" s="99" t="inlineStr">
        <is>
          <t>RACK_OPEN</t>
        </is>
      </c>
      <c r="B95" s="99" t="inlineStr">
        <is>
          <t>TBD</t>
        </is>
      </c>
      <c r="C95" s="99" t="n">
        <v>40</v>
      </c>
      <c r="D95" s="107" t="inlineStr">
        <is>
          <t>OPTIMAL</t>
        </is>
      </c>
      <c r="E95" s="99" t="inlineStr">
        <is>
          <t>none</t>
        </is>
      </c>
      <c r="F95" s="99" t="n"/>
      <c r="G95" s="105" t="n">
        <v>27.8214389886981</v>
      </c>
      <c r="H95" s="105" t="n">
        <v>46.5506242008938</v>
      </c>
      <c r="I95" s="105" t="n">
        <v>50.888787166209</v>
      </c>
      <c r="J95" s="105" t="n">
        <v>47.0648668110986</v>
      </c>
      <c r="K95" s="105" t="n">
        <v>40</v>
      </c>
      <c r="L95" s="105" t="n">
        <v>94.1637068205965</v>
      </c>
      <c r="M95" s="105" t="n">
        <v>0.859423184647686</v>
      </c>
      <c r="N95" s="105" t="n">
        <v>27.7726600684049</v>
      </c>
      <c r="O95" s="105" t="n">
        <v>-0.015323155409995</v>
      </c>
      <c r="P95" s="105" t="n">
        <v>-1.23672599983138e-06</v>
      </c>
      <c r="Q95" s="105" t="n">
        <v>-1.23936209917019e-06</v>
      </c>
      <c r="R95" s="105" t="n">
        <v>-0.0053456537686997</v>
      </c>
      <c r="S95" s="105" t="n">
        <v>0.0003681392087173</v>
      </c>
      <c r="T95" s="99" t="n">
        <v>0</v>
      </c>
      <c r="U95" s="99" t="n"/>
    </row>
    <row r="96" ht="15" customHeight="1" s="65">
      <c r="A96" s="99" t="inlineStr">
        <is>
          <t>RACK_OPEN</t>
        </is>
      </c>
      <c r="B96" s="99" t="inlineStr">
        <is>
          <t>TBD</t>
        </is>
      </c>
      <c r="C96" s="99" t="n">
        <v>45</v>
      </c>
      <c r="D96" s="103" t="inlineStr">
        <is>
          <t>FAIL</t>
        </is>
      </c>
      <c r="E96" s="99" t="inlineStr">
        <is>
          <t>condenser loop &gt; limit</t>
        </is>
      </c>
      <c r="F96" s="105" t="n">
        <v>2.09055555555556</v>
      </c>
      <c r="G96" s="105" t="n">
        <v>28.0038681204574</v>
      </c>
      <c r="H96" s="105" t="n">
        <v>51.5511823158974</v>
      </c>
      <c r="I96" s="105" t="n">
        <v>55.9093454713299</v>
      </c>
      <c r="J96" s="105" t="n">
        <v>52.1332630245051</v>
      </c>
      <c r="K96" s="105" t="n">
        <v>66.2717523258748</v>
      </c>
      <c r="L96" s="105" t="n">
        <v>99.16245831161589</v>
      </c>
      <c r="M96" s="105" t="n">
        <v>0.856650630993926</v>
      </c>
      <c r="N96" s="105" t="n">
        <v>40.0494297653683</v>
      </c>
      <c r="O96" s="105" t="n">
        <v>-0.0157924129814643</v>
      </c>
      <c r="P96" s="105" t="n">
        <v>0.00474459693580087</v>
      </c>
      <c r="Q96" s="105" t="n">
        <v>-0.411188011445304</v>
      </c>
      <c r="R96" s="105" t="n">
        <v>-0.0016532684563799</v>
      </c>
      <c r="S96" s="105" t="n">
        <v>0.0003724853003745</v>
      </c>
      <c r="T96" s="99" t="n">
        <v>0</v>
      </c>
      <c r="U96" s="99" t="inlineStr">
        <is>
          <t>condenser loop &gt; 65 C (check valve)</t>
        </is>
      </c>
    </row>
    <row r="97" ht="15" customHeight="1" s="65">
      <c r="A97" s="99" t="inlineStr">
        <is>
          <t>STRING_OPEN_1</t>
        </is>
      </c>
      <c r="B97" s="99" t="inlineStr">
        <is>
          <t>TBD</t>
        </is>
      </c>
      <c r="C97" s="99" t="n">
        <v>20</v>
      </c>
      <c r="D97" s="107" t="inlineStr">
        <is>
          <t>OPTIMAL</t>
        </is>
      </c>
      <c r="E97" s="99" t="inlineStr">
        <is>
          <t>none</t>
        </is>
      </c>
      <c r="F97" s="99" t="n"/>
      <c r="G97" s="105" t="n">
        <v>25.9889097244024</v>
      </c>
      <c r="H97" s="105" t="n">
        <v>26.4054039800093</v>
      </c>
      <c r="I97" s="105" t="n">
        <v>30.763567190486</v>
      </c>
      <c r="J97" s="105" t="n">
        <v>26.8014886954773</v>
      </c>
      <c r="K97" s="105" t="n">
        <v>20</v>
      </c>
      <c r="L97" s="105" t="n">
        <v>74.1613824424214</v>
      </c>
      <c r="M97" s="105" t="n">
        <v>0.869793266539468</v>
      </c>
      <c r="N97" s="105" t="n">
        <v>10.4206505261076</v>
      </c>
      <c r="O97" s="105" t="n">
        <v>-0.006266681709408</v>
      </c>
      <c r="P97" s="105" t="n">
        <v>3.27454298343355e-07</v>
      </c>
      <c r="Q97" s="105" t="n">
        <v>2.62880298862456e-07</v>
      </c>
      <c r="R97" s="105" t="n">
        <v>0.0164052568727584</v>
      </c>
      <c r="S97" s="105" t="n">
        <v>-0.0003085136809772</v>
      </c>
      <c r="T97" s="99" t="n">
        <v>0</v>
      </c>
      <c r="U97" s="99" t="n"/>
    </row>
    <row r="98" ht="15" customHeight="1" s="65">
      <c r="A98" s="99" t="inlineStr">
        <is>
          <t>STRING_OPEN_1</t>
        </is>
      </c>
      <c r="B98" s="99" t="inlineStr">
        <is>
          <t>TBD</t>
        </is>
      </c>
      <c r="C98" s="99" t="n">
        <v>40</v>
      </c>
      <c r="D98" s="107" t="inlineStr">
        <is>
          <t>OPTIMAL</t>
        </is>
      </c>
      <c r="E98" s="99" t="inlineStr">
        <is>
          <t>none</t>
        </is>
      </c>
      <c r="F98" s="99" t="n"/>
      <c r="G98" s="105" t="n">
        <v>27.8499726624487</v>
      </c>
      <c r="H98" s="105" t="n">
        <v>46.5506250538447</v>
      </c>
      <c r="I98" s="105" t="n">
        <v>50.8887880259495</v>
      </c>
      <c r="J98" s="105" t="n">
        <v>47.0648676640496</v>
      </c>
      <c r="K98" s="105" t="n">
        <v>40</v>
      </c>
      <c r="L98" s="105" t="n">
        <v>94.163815654182</v>
      </c>
      <c r="M98" s="105" t="n">
        <v>0.868409855942458</v>
      </c>
      <c r="N98" s="105" t="n">
        <v>27.7487320454192</v>
      </c>
      <c r="O98" s="105" t="n">
        <v>-0.0063364841152228</v>
      </c>
      <c r="P98" s="105" t="n">
        <v>-3.7698549704146e-07</v>
      </c>
      <c r="Q98" s="105" t="n">
        <v>-3.86411102226703e-07</v>
      </c>
      <c r="R98" s="105" t="n">
        <v>0.0231880199819443</v>
      </c>
      <c r="S98" s="105" t="n">
        <v>0.0004769727942175</v>
      </c>
      <c r="T98" s="99" t="n">
        <v>0</v>
      </c>
      <c r="U98" s="99" t="n"/>
    </row>
    <row r="99" ht="15" customHeight="1" s="65">
      <c r="A99" s="99" t="inlineStr">
        <is>
          <t>STRING_OPEN_1</t>
        </is>
      </c>
      <c r="B99" s="99" t="inlineStr">
        <is>
          <t>TBD</t>
        </is>
      </c>
      <c r="C99" s="99" t="n">
        <v>45</v>
      </c>
      <c r="D99" s="103" t="inlineStr">
        <is>
          <t>FAIL</t>
        </is>
      </c>
      <c r="E99" s="99" t="inlineStr">
        <is>
          <t>condenser loop &gt; limit</t>
        </is>
      </c>
      <c r="F99" s="105" t="n">
        <v>2.05444444444444</v>
      </c>
      <c r="G99" s="105" t="n">
        <v>28.0067304965872</v>
      </c>
      <c r="H99" s="105" t="n">
        <v>51.7853609827816</v>
      </c>
      <c r="I99" s="105" t="n">
        <v>56.0129533455359</v>
      </c>
      <c r="J99" s="105" t="n">
        <v>52.7527339766126</v>
      </c>
      <c r="K99" s="105" t="n">
        <v>66.2717523262405</v>
      </c>
      <c r="L99" s="105" t="n">
        <v>99.16214187226321</v>
      </c>
      <c r="M99" s="105" t="n">
        <v>0.865879775063764</v>
      </c>
      <c r="N99" s="105" t="n">
        <v>40.097332857211</v>
      </c>
      <c r="O99" s="105" t="n">
        <v>-0.0065632689116264</v>
      </c>
      <c r="P99" s="105" t="n">
        <v>0.108352471141807</v>
      </c>
      <c r="Q99" s="105" t="n">
        <v>0.208282940662201</v>
      </c>
      <c r="R99" s="105" t="n">
        <v>0.0012091076735032</v>
      </c>
      <c r="S99" s="105" t="n">
        <v>5.60459477583208e-05</v>
      </c>
      <c r="T99" s="99" t="n">
        <v>0</v>
      </c>
      <c r="U99" s="99" t="inlineStr">
        <is>
          <t>condenser loop &gt; 65 C (check valve)</t>
        </is>
      </c>
    </row>
    <row r="100" ht="15" customHeight="1" s="65">
      <c r="A100" s="99" t="inlineStr">
        <is>
          <t>TSENSE_HIGH_5K</t>
        </is>
      </c>
      <c r="B100" s="99" t="inlineStr">
        <is>
          <t>F46</t>
        </is>
      </c>
      <c r="C100" s="99" t="n">
        <v>20</v>
      </c>
      <c r="D100" s="107" t="inlineStr">
        <is>
          <t>OPTIMAL</t>
        </is>
      </c>
      <c r="E100" s="99" t="inlineStr">
        <is>
          <t>none</t>
        </is>
      </c>
      <c r="F100" s="99" t="n"/>
      <c r="G100" s="105" t="n">
        <v>25.0200996918709</v>
      </c>
      <c r="H100" s="105" t="n">
        <v>26.8502433995737</v>
      </c>
      <c r="I100" s="105" t="n">
        <v>31.1884064110175</v>
      </c>
      <c r="J100" s="105" t="n">
        <v>27.6084700435702</v>
      </c>
      <c r="K100" s="105" t="n">
        <v>44.8575350839321</v>
      </c>
      <c r="L100" s="105" t="n">
        <v>74.16320177266731</v>
      </c>
      <c r="M100" s="105" t="n">
        <v>0.875829684749763</v>
      </c>
      <c r="N100" s="105" t="n">
        <v>22.0200023191031</v>
      </c>
      <c r="O100" s="105" t="n">
        <v>-0.0002302634991137</v>
      </c>
      <c r="P100" s="105" t="n">
        <v>0.424839547985798</v>
      </c>
      <c r="Q100" s="105" t="n">
        <v>0.8069816109732</v>
      </c>
      <c r="R100" s="105" t="n">
        <v>-0.952404775658806</v>
      </c>
      <c r="S100" s="105" t="n">
        <v>0.0015108165649166</v>
      </c>
      <c r="T100" s="99" t="n">
        <v>0</v>
      </c>
      <c r="U100" s="99" t="n"/>
    </row>
    <row r="101" ht="15" customHeight="1" s="65">
      <c r="A101" s="99" t="inlineStr">
        <is>
          <t>TSENSE_HIGH_5K</t>
        </is>
      </c>
      <c r="B101" s="99" t="inlineStr">
        <is>
          <t>F46</t>
        </is>
      </c>
      <c r="C101" s="99" t="n">
        <v>40</v>
      </c>
      <c r="D101" s="106" t="inlineStr">
        <is>
          <t>OK</t>
        </is>
      </c>
      <c r="E101" s="99" t="inlineStr">
        <is>
          <t>none</t>
        </is>
      </c>
      <c r="F101" s="99" t="n"/>
      <c r="G101" s="105" t="n">
        <v>25.3560009838029</v>
      </c>
      <c r="H101" s="105" t="n">
        <v>47.0917080020614</v>
      </c>
      <c r="I101" s="105" t="n">
        <v>51.4398710368019</v>
      </c>
      <c r="J101" s="105" t="n">
        <v>48.0485806886237</v>
      </c>
      <c r="K101" s="105" t="n">
        <v>62.3409592765073</v>
      </c>
      <c r="L101" s="105" t="n">
        <v>94.1627707513196</v>
      </c>
      <c r="M101" s="105" t="n">
        <v>0.87236805737668</v>
      </c>
      <c r="N101" s="105" t="n">
        <v>58.9448483870888</v>
      </c>
      <c r="O101" s="105" t="n">
        <v>-0.0023782826810008</v>
      </c>
      <c r="P101" s="105" t="n">
        <v>0.551082633866898</v>
      </c>
      <c r="Q101" s="105" t="n">
        <v>0.983712638162999</v>
      </c>
      <c r="R101" s="105" t="n">
        <v>-2.47078365866389</v>
      </c>
      <c r="S101" s="105" t="n">
        <v>-0.0005679300682572</v>
      </c>
      <c r="T101" s="99" t="n">
        <v>0</v>
      </c>
      <c r="U101" s="99" t="inlineStr">
        <is>
          <t>PE margin 2.7 K</t>
        </is>
      </c>
    </row>
    <row r="102" ht="15" customHeight="1" s="65">
      <c r="A102" s="99" t="inlineStr">
        <is>
          <t>TSENSE_HIGH_5K</t>
        </is>
      </c>
      <c r="B102" s="99" t="inlineStr">
        <is>
          <t>F46</t>
        </is>
      </c>
      <c r="C102" s="99" t="n">
        <v>45</v>
      </c>
      <c r="D102" s="103" t="inlineStr">
        <is>
          <t>FAIL</t>
        </is>
      </c>
      <c r="E102" s="99" t="inlineStr">
        <is>
          <t>condenser loop &gt; limit</t>
        </is>
      </c>
      <c r="F102" s="105" t="n">
        <v>0.0561111111111111</v>
      </c>
      <c r="G102" s="105" t="n">
        <v>25.4434369052065</v>
      </c>
      <c r="H102" s="105" t="n">
        <v>52.1212270751653</v>
      </c>
      <c r="I102" s="105" t="n">
        <v>56.4793902253287</v>
      </c>
      <c r="J102" s="105" t="n">
        <v>53.1057229146497</v>
      </c>
      <c r="K102" s="105" t="n">
        <v>66.2717523297524</v>
      </c>
      <c r="L102" s="105" t="n">
        <v>99.16416383421731</v>
      </c>
      <c r="M102" s="105" t="n">
        <v>0.873906489294702</v>
      </c>
      <c r="N102" s="105" t="n">
        <v>59.1009072127493</v>
      </c>
      <c r="O102" s="105" t="n">
        <v>0.0014634453193113</v>
      </c>
      <c r="P102" s="105" t="n">
        <v>0.574789350934601</v>
      </c>
      <c r="Q102" s="105" t="n">
        <v>0.561271878699301</v>
      </c>
      <c r="R102" s="105" t="n">
        <v>-2.56208448370722</v>
      </c>
      <c r="S102" s="105" t="n">
        <v>0.0020780079018436</v>
      </c>
      <c r="T102" s="99" t="n">
        <v>0</v>
      </c>
      <c r="U102" s="99" t="inlineStr">
        <is>
          <t>condenser loop &gt; 65 C (check valve)</t>
        </is>
      </c>
    </row>
    <row r="103" ht="15" customHeight="1" s="65">
      <c r="A103" s="99" t="inlineStr">
        <is>
          <t>TSENSE_LOW_5K</t>
        </is>
      </c>
      <c r="B103" s="99" t="inlineStr">
        <is>
          <t>F46</t>
        </is>
      </c>
      <c r="C103" s="99" t="n">
        <v>20</v>
      </c>
      <c r="D103" s="107" t="inlineStr">
        <is>
          <t>OPTIMAL</t>
        </is>
      </c>
      <c r="E103" s="99" t="inlineStr">
        <is>
          <t>none</t>
        </is>
      </c>
      <c r="F103" s="99" t="n"/>
      <c r="G103" s="105" t="n">
        <v>25.9725049206861</v>
      </c>
      <c r="H103" s="105" t="n">
        <v>26.4054034229942</v>
      </c>
      <c r="I103" s="105" t="n">
        <v>30.7635665690891</v>
      </c>
      <c r="J103" s="105" t="n">
        <v>26.8014881384622</v>
      </c>
      <c r="K103" s="105" t="n">
        <v>20</v>
      </c>
      <c r="L103" s="105" t="n">
        <v>74.1617637109497</v>
      </c>
      <c r="M103" s="105" t="n">
        <v>0.876060031990517</v>
      </c>
      <c r="N103" s="105" t="n">
        <v>10.4206505261076</v>
      </c>
      <c r="O103" s="105" t="n">
        <v>8.37416406218594e-08</v>
      </c>
      <c r="P103" s="105" t="n">
        <v>-2.93942601814479e-07</v>
      </c>
      <c r="Q103" s="105" t="n">
        <v>-2.94134800071788e-07</v>
      </c>
      <c r="R103" s="105" t="n">
        <v>4.53156417279388e-07</v>
      </c>
      <c r="S103" s="105" t="n">
        <v>7.27548473378192e-05</v>
      </c>
      <c r="T103" s="99" t="n">
        <v>0</v>
      </c>
      <c r="U103" s="99" t="n"/>
    </row>
    <row r="104" ht="15" customHeight="1" s="65">
      <c r="A104" s="99" t="inlineStr">
        <is>
          <t>TSENSE_LOW_5K</t>
        </is>
      </c>
      <c r="B104" s="99" t="inlineStr">
        <is>
          <t>F46</t>
        </is>
      </c>
      <c r="C104" s="99" t="n">
        <v>40</v>
      </c>
      <c r="D104" s="107" t="inlineStr">
        <is>
          <t>OPTIMAL</t>
        </is>
      </c>
      <c r="E104" s="99" t="inlineStr">
        <is>
          <t>none</t>
        </is>
      </c>
      <c r="F104" s="99" t="n"/>
      <c r="G104" s="105" t="n">
        <v>27.8267761045557</v>
      </c>
      <c r="H104" s="105" t="n">
        <v>46.5506257526357</v>
      </c>
      <c r="I104" s="105" t="n">
        <v>50.8887887154197</v>
      </c>
      <c r="J104" s="105" t="n">
        <v>47.0648683628405</v>
      </c>
      <c r="K104" s="105" t="n">
        <v>40</v>
      </c>
      <c r="L104" s="105" t="n">
        <v>94.1618344287602</v>
      </c>
      <c r="M104" s="105" t="n">
        <v>0.8747462530385</v>
      </c>
      <c r="N104" s="105" t="n">
        <v>27.769127786647</v>
      </c>
      <c r="O104" s="105" t="n">
        <v>-8.70191808610699e-08</v>
      </c>
      <c r="P104" s="105" t="n">
        <v>3.12484701225912e-07</v>
      </c>
      <c r="Q104" s="105" t="n">
        <v>3.12379796696405e-07</v>
      </c>
      <c r="R104" s="105" t="n">
        <v>-8.53791112831459e-06</v>
      </c>
      <c r="S104" s="105" t="n">
        <v>-0.0015042526275692</v>
      </c>
      <c r="T104" s="99" t="n">
        <v>0</v>
      </c>
      <c r="U104" s="99" t="n"/>
    </row>
    <row r="105" ht="15" customHeight="1" s="65">
      <c r="A105" s="99" t="inlineStr">
        <is>
          <t>TSENSE_LOW_5K</t>
        </is>
      </c>
      <c r="B105" s="99" t="inlineStr">
        <is>
          <t>F46</t>
        </is>
      </c>
      <c r="C105" s="99" t="n">
        <v>45</v>
      </c>
      <c r="D105" s="107" t="inlineStr">
        <is>
          <t>OPTIMAL</t>
        </is>
      </c>
      <c r="E105" s="99" t="inlineStr">
        <is>
          <t>none</t>
        </is>
      </c>
      <c r="F105" s="99" t="n"/>
      <c r="G105" s="105" t="n">
        <v>28.3107258226538</v>
      </c>
      <c r="H105" s="105" t="n">
        <v>51.5511817318685</v>
      </c>
      <c r="I105" s="105" t="n">
        <v>55.9093448803604</v>
      </c>
      <c r="J105" s="105" t="n">
        <v>52.0654243420733</v>
      </c>
      <c r="K105" s="105" t="n">
        <v>45</v>
      </c>
      <c r="L105" s="105" t="n">
        <v>99.1623814256955</v>
      </c>
      <c r="M105" s="105" t="n">
        <v>0.874578788622585</v>
      </c>
      <c r="N105" s="105" t="n">
        <v>29.317150505205</v>
      </c>
      <c r="O105" s="105" t="n">
        <v>0.0021357446471949</v>
      </c>
      <c r="P105" s="105" t="n">
        <v>0.00474400596630176</v>
      </c>
      <c r="Q105" s="105" t="n">
        <v>-0.479026693877103</v>
      </c>
      <c r="R105" s="105" t="n">
        <v>0.305204433740073</v>
      </c>
      <c r="S105" s="105" t="n">
        <v>0.0002955993799673</v>
      </c>
      <c r="T105" s="99" t="n">
        <v>0</v>
      </c>
      <c r="U105" s="9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Q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64" min="1" max="1"/>
    <col width="34" customWidth="1" style="64" min="2" max="2"/>
    <col width="22" customWidth="1" style="64" min="3" max="3"/>
    <col width="10" customWidth="1" style="64" min="4" max="4"/>
    <col width="11" customWidth="1" style="64" min="5" max="5"/>
    <col width="9" customWidth="1" style="64" min="6" max="6"/>
    <col width="20" customWidth="1" style="64" min="7" max="7"/>
    <col width="26" customWidth="1" style="64" min="8" max="8"/>
    <col width="10" customWidth="1" style="64" min="9" max="10"/>
    <col width="9" customWidth="1" style="64" min="11" max="11"/>
    <col width="11" customWidth="1" style="64" min="12" max="12"/>
    <col width="10" customWidth="1" style="64" min="13" max="13"/>
    <col width="48" customWidth="1" style="64" min="14" max="14"/>
    <col width="32" customWidth="1" style="64" min="15" max="15"/>
    <col width="16" customWidth="1" style="64" min="16" max="16"/>
    <col width="11" customWidth="1" style="64" min="17" max="17"/>
  </cols>
  <sheetData>
    <row r="1" ht="15" customHeight="1" s="65">
      <c r="A1" s="75" t="inlineStr">
        <is>
          <t>Spares plan — initial risk-based pass (2026-10-08). Source: Voltify Proto Switcher (GP Based) - Locomotive Kit FULL BOM (Jonathan), FMEA, RSK register, fault sweep.</t>
        </is>
      </c>
    </row>
    <row r="2" ht="15" customHeight="1" s="65">
      <c r="A2" s="73" t="inlineStr">
        <is>
          <t>Go-kit = spares staged at Huntington for build and first power; they travel with the loco to Jacksonville (dead-in-tow). JAX depot = shipped directly to Jacksonville for the 30-day run and the CSX 90-day evaluation. Totals are what to hold, not what to buy (subtract stock on hand).</t>
        </is>
      </c>
    </row>
    <row r="3" ht="15" customHeight="1" s="65">
      <c r="A3" s="73" t="inlineStr">
        <is>
          <t>Sizing rule: stop-the-loco single point or fast thermal failure = 1+ on site; long-lead / single-source = 1 total; wear and consumables = 10-20% of installed (min 1-2); not needed for the demo = 0. Lead times are assumptions. Quantities come down as the "Reduce when" triggers close.</t>
        </is>
      </c>
    </row>
    <row r="5" ht="45.75" customHeight="1" s="65">
      <c r="A5" s="70" t="inlineStr">
        <is>
          <t>BOM #</t>
        </is>
      </c>
      <c r="B5" s="70" t="inlineStr">
        <is>
          <t>Item</t>
        </is>
      </c>
      <c r="C5" s="70" t="inlineStr">
        <is>
          <t>Mfr / P/N</t>
        </is>
      </c>
      <c r="D5" s="70" t="inlineStr">
        <is>
          <t>Installed (demo)</t>
        </is>
      </c>
      <c r="E5" s="70" t="inlineStr">
        <is>
          <t>BOM spare target (Jonathan)</t>
        </is>
      </c>
      <c r="F5" s="70" t="inlineStr">
        <is>
          <t>Stock (BOM)</t>
        </is>
      </c>
      <c r="G5" s="70" t="inlineStr">
        <is>
          <t>Risk category</t>
        </is>
      </c>
      <c r="H5" s="70" t="inlineStr">
        <is>
          <t>FMEA / RSK / fault-sweep link</t>
        </is>
      </c>
      <c r="I5" s="70" t="inlineStr">
        <is>
          <t>Lead time (assumed)</t>
        </is>
      </c>
      <c r="J5" s="70" t="inlineStr">
        <is>
          <t>Go-kit (HHR, travels)</t>
        </is>
      </c>
      <c r="K5" s="70" t="inlineStr">
        <is>
          <t>JAX depot</t>
        </is>
      </c>
      <c r="L5" s="70" t="inlineStr">
        <is>
          <t>Total recommended</t>
        </is>
      </c>
      <c r="M5" s="70" t="inlineStr">
        <is>
          <t>Delta vs BOM target</t>
        </is>
      </c>
      <c r="N5" s="70" t="inlineStr">
        <is>
          <t>Rationale</t>
        </is>
      </c>
      <c r="O5" s="70" t="inlineStr">
        <is>
          <t>Reduce when</t>
        </is>
      </c>
      <c r="P5" s="70" t="inlineStr">
        <is>
          <t>Owner</t>
        </is>
      </c>
      <c r="Q5" s="70" t="inlineStr">
        <is>
          <t>Status</t>
        </is>
      </c>
    </row>
    <row r="6" ht="23.25" customHeight="1" s="65">
      <c r="A6" s="71" t="inlineStr">
        <is>
          <t>4.1.2</t>
        </is>
      </c>
      <c r="B6" s="71" t="inlineStr">
        <is>
          <t>Chopper (Traction Converter, ITC)</t>
        </is>
      </c>
      <c r="C6" s="71" t="inlineStr">
        <is>
          <t>Integral ITC-0001</t>
        </is>
      </c>
      <c r="D6" s="71" t="n">
        <v>4</v>
      </c>
      <c r="E6" s="71" t="n">
        <v>1</v>
      </c>
      <c r="F6" s="71" t="inlineStr">
        <is>
          <t>—</t>
        </is>
      </c>
      <c r="G6" s="71" t="inlineStr">
        <is>
          <t>SPOF-degrade + long lead</t>
        </is>
      </c>
      <c r="H6" s="71" t="inlineStr">
        <is>
          <t>F22, F49, F62; RSK-NEW-32</t>
        </is>
      </c>
      <c r="I6" s="71" t="inlineStr">
        <is>
          <t>Long</t>
        </is>
      </c>
      <c r="J6" s="76" t="n">
        <v>1</v>
      </c>
      <c r="K6" s="76" t="n">
        <v>0</v>
      </c>
      <c r="L6" s="77">
        <f>IF(AND(ISNUMBER(J6),ISNUMBER(K6)),J6+K6,"")</f>
        <v/>
      </c>
      <c r="M6" s="71">
        <f>IF(AND(ISNUMBER(L6),ISNUMBER(E6)),L6-E6,"")</f>
        <v/>
      </c>
      <c r="N6" s="71" t="inlineStr">
        <is>
          <t>Axle loss = ~25% tonnage cut (fault sweep); Integral long lead. One unit travels with the loco as the swap spare.</t>
        </is>
      </c>
      <c r="O6" s="71" t="inlineStr">
        <is>
          <t>Integral confirms 2-week swap/repair support at JAX</t>
        </is>
      </c>
      <c r="P6" s="71" t="inlineStr">
        <is>
          <t>Jonathan + Integral</t>
        </is>
      </c>
      <c r="Q6" s="71" t="inlineStr">
        <is>
          <t>Open</t>
        </is>
      </c>
    </row>
    <row r="7" ht="23.25" customHeight="1" s="65">
      <c r="A7" s="71" t="inlineStr">
        <is>
          <t>3.8.1.1</t>
        </is>
      </c>
      <c r="B7" s="71" t="inlineStr">
        <is>
          <t>LCC CPU PCB</t>
        </is>
      </c>
      <c r="C7" s="71" t="inlineStr">
        <is>
          <t>Integral (LCC-K008)</t>
        </is>
      </c>
      <c r="D7" s="71" t="inlineStr">
        <is>
          <t>1</t>
        </is>
      </c>
      <c r="E7" s="71" t="n">
        <v>1</v>
      </c>
      <c r="F7" s="71" t="inlineStr">
        <is>
          <t>C:1</t>
        </is>
      </c>
      <c r="G7" s="121" t="inlineStr">
        <is>
          <t>SPOF-stop</t>
        </is>
      </c>
      <c r="H7" s="71" t="inlineStr">
        <is>
          <t>F46, F51</t>
        </is>
      </c>
      <c r="I7" s="71" t="inlineStr">
        <is>
          <t>Long</t>
        </is>
      </c>
      <c r="J7" s="76" t="n">
        <v>1</v>
      </c>
      <c r="K7" s="76" t="n">
        <v>0</v>
      </c>
      <c r="L7" s="77">
        <f>IF(AND(ISNUMBER(J7),ISNUMBER(K7)),J7+K7,"")</f>
        <v/>
      </c>
      <c r="M7" s="71">
        <f>IF(AND(ISNUMBER(L7),ISNUMBER(E7)),L7-E7,"")</f>
        <v/>
      </c>
      <c r="N7" s="71" t="inlineStr">
        <is>
          <t>LCC loss = no traction (Class A). Pre-load SW per H-30 manifest.</t>
        </is>
      </c>
      <c r="O7" s="71" t="inlineStr">
        <is>
          <t>Integral on-site support contract in place</t>
        </is>
      </c>
      <c r="P7" s="71" t="inlineStr">
        <is>
          <t>Jonathan + Integral</t>
        </is>
      </c>
      <c r="Q7" s="71" t="inlineStr">
        <is>
          <t>Open</t>
        </is>
      </c>
    </row>
    <row r="8" ht="15" customHeight="1" s="65">
      <c r="A8" s="71" t="inlineStr">
        <is>
          <t>3.8.1.2</t>
        </is>
      </c>
      <c r="B8" s="71" t="inlineStr">
        <is>
          <t>LCC IO PCB</t>
        </is>
      </c>
      <c r="C8" s="71" t="inlineStr">
        <is>
          <t>Integral (LCC-K008)</t>
        </is>
      </c>
      <c r="D8" s="71" t="inlineStr">
        <is>
          <t>1</t>
        </is>
      </c>
      <c r="E8" s="71" t="n">
        <v>1</v>
      </c>
      <c r="F8" s="71" t="inlineStr">
        <is>
          <t>C:1</t>
        </is>
      </c>
      <c r="G8" s="121" t="inlineStr">
        <is>
          <t>SPOF-stop</t>
        </is>
      </c>
      <c r="H8" s="71" t="inlineStr">
        <is>
          <t>F46</t>
        </is>
      </c>
      <c r="I8" s="71" t="inlineStr">
        <is>
          <t>Long</t>
        </is>
      </c>
      <c r="J8" s="76" t="n">
        <v>1</v>
      </c>
      <c r="K8" s="76" t="n">
        <v>0</v>
      </c>
      <c r="L8" s="77">
        <f>IF(AND(ISNUMBER(J8),ISNUMBER(K8)),J8+K8,"")</f>
        <v/>
      </c>
      <c r="M8" s="71">
        <f>IF(AND(ISNUMBER(L8),ISNUMBER(E8)),L8-E8,"")</f>
        <v/>
      </c>
      <c r="N8" s="71" t="inlineStr">
        <is>
          <t>As LCC CPU.</t>
        </is>
      </c>
      <c r="O8" s="71" t="inlineStr">
        <is>
          <t>As above</t>
        </is>
      </c>
      <c r="P8" s="71" t="inlineStr">
        <is>
          <t>Jonathan + Integral</t>
        </is>
      </c>
      <c r="Q8" s="71" t="inlineStr">
        <is>
          <t>Open</t>
        </is>
      </c>
    </row>
    <row r="9" ht="15" customHeight="1" s="65">
      <c r="A9" s="71" t="inlineStr">
        <is>
          <t>3.8.2</t>
        </is>
      </c>
      <c r="B9" s="71" t="inlineStr">
        <is>
          <t>Cab Display Kit</t>
        </is>
      </c>
      <c r="C9" s="71" t="inlineStr">
        <is>
          <t>Integral LDU-K001</t>
        </is>
      </c>
      <c r="D9" s="71" t="n">
        <v>1</v>
      </c>
      <c r="E9" s="71" t="n"/>
      <c r="F9" s="71" t="inlineStr">
        <is>
          <t>—</t>
        </is>
      </c>
      <c r="G9" s="121" t="inlineStr">
        <is>
          <t>SPOF-stop</t>
        </is>
      </c>
      <c r="H9" s="71" t="inlineStr">
        <is>
          <t>F46</t>
        </is>
      </c>
      <c r="I9" s="71" t="inlineStr">
        <is>
          <t>Long</t>
        </is>
      </c>
      <c r="J9" s="76" t="n">
        <v>0</v>
      </c>
      <c r="K9" s="76" t="n">
        <v>1</v>
      </c>
      <c r="L9" s="77">
        <f>IF(AND(ISNUMBER(J9),ISNUMBER(K9)),J9+K9,"")</f>
        <v/>
      </c>
      <c r="M9" s="71">
        <f>IF(AND(ISNUMBER(L9),ISNUMBER(E9)),L9-E9,"")</f>
        <v/>
      </c>
      <c r="N9" s="71" t="inlineStr">
        <is>
          <t>Operator interface for traction; Integral item.</t>
        </is>
      </c>
      <c r="O9" s="71" t="inlineStr">
        <is>
          <t>Integral confirms loaner/turnaround</t>
        </is>
      </c>
      <c r="P9" s="71" t="inlineStr">
        <is>
          <t>Jonathan + Integral</t>
        </is>
      </c>
      <c r="Q9" s="71" t="inlineStr">
        <is>
          <t>Open</t>
        </is>
      </c>
    </row>
    <row r="10" ht="23.25" customHeight="1" s="65">
      <c r="A10" s="71" t="inlineStr">
        <is>
          <t>3.1.1</t>
        </is>
      </c>
      <c r="B10" s="71" t="inlineStr">
        <is>
          <t>Reverser Motor Module</t>
        </is>
      </c>
      <c r="C10" s="71" t="inlineStr">
        <is>
          <t>DLL Type 711</t>
        </is>
      </c>
      <c r="D10" s="71" t="n">
        <v>1</v>
      </c>
      <c r="E10" s="71" t="n"/>
      <c r="F10" s="71" t="inlineStr">
        <is>
          <t>—</t>
        </is>
      </c>
      <c r="G10" s="121" t="inlineStr">
        <is>
          <t>SPOF-stop</t>
        </is>
      </c>
      <c r="H10" s="71" t="inlineStr">
        <is>
          <t>H-13 (fwd/rev)</t>
        </is>
      </c>
      <c r="I10" s="71" t="inlineStr">
        <is>
          <t>Med</t>
        </is>
      </c>
      <c r="J10" s="76" t="n">
        <v>1</v>
      </c>
      <c r="K10" s="76" t="n">
        <v>0</v>
      </c>
      <c r="L10" s="77">
        <f>IF(AND(ISNUMBER(J10),ISNUMBER(K10)),J10+K10,"")</f>
        <v/>
      </c>
      <c r="M10" s="71">
        <f>IF(AND(ISNUMBER(L10),ISNUMBER(E10)),L10-E10,"")</f>
        <v/>
      </c>
      <c r="N10" s="71" t="inlineStr">
        <is>
          <t>Single reverser drive; no direction change without it.</t>
        </is>
      </c>
      <c r="O10" s="71" t="inlineStr">
        <is>
          <t>Reverser cycles cleanly through H-13 and J-02B</t>
        </is>
      </c>
      <c r="P10" s="71" t="inlineStr">
        <is>
          <t>Bryan</t>
        </is>
      </c>
      <c r="Q10" s="71" t="inlineStr">
        <is>
          <t>Open</t>
        </is>
      </c>
    </row>
    <row r="11" ht="15" customHeight="1" s="65">
      <c r="A11" s="71" t="inlineStr">
        <is>
          <t>3.1.2</t>
        </is>
      </c>
      <c r="B11" s="71" t="inlineStr">
        <is>
          <t>Reverser Switch Module</t>
        </is>
      </c>
      <c r="C11" s="71" t="inlineStr">
        <is>
          <t>DLL Type 712</t>
        </is>
      </c>
      <c r="D11" s="71" t="n">
        <v>4</v>
      </c>
      <c r="E11" s="71" t="n"/>
      <c r="F11" s="71" t="inlineStr">
        <is>
          <t>—</t>
        </is>
      </c>
      <c r="G11" s="121" t="inlineStr">
        <is>
          <t>SPOF-stop</t>
        </is>
      </c>
      <c r="H11" s="71" t="inlineStr">
        <is>
          <t>H-13</t>
        </is>
      </c>
      <c r="I11" s="71" t="inlineStr">
        <is>
          <t>Med</t>
        </is>
      </c>
      <c r="J11" s="76" t="n">
        <v>1</v>
      </c>
      <c r="K11" s="76" t="n">
        <v>0</v>
      </c>
      <c r="L11" s="77">
        <f>IF(AND(ISNUMBER(J11),ISNUMBER(K11)),J11+K11,"")</f>
        <v/>
      </c>
      <c r="M11" s="71">
        <f>IF(AND(ISNUMBER(L11),ISNUMBER(E11)),L11-E11,"")</f>
        <v/>
      </c>
      <c r="N11" s="71" t="inlineStr">
        <is>
          <t>Per-motor switch; one failure blocks an axle or direction.</t>
        </is>
      </c>
      <c r="O11" s="71" t="inlineStr">
        <is>
          <t>As above</t>
        </is>
      </c>
      <c r="P11" s="71" t="inlineStr">
        <is>
          <t>Bryan</t>
        </is>
      </c>
      <c r="Q11" s="71" t="inlineStr">
        <is>
          <t>Open</t>
        </is>
      </c>
    </row>
    <row r="12" ht="34.5" customHeight="1" s="65">
      <c r="A12" s="71" t="inlineStr">
        <is>
          <t>4.1.4.1 / 6.1.5.1 / 6.1.8.1 / 6.5.1</t>
        </is>
      </c>
      <c r="B12" s="71" t="inlineStr">
        <is>
          <t>2000 A fuse (DC-link, charger, filter)</t>
        </is>
      </c>
      <c r="C12" s="71" t="inlineStr">
        <is>
          <t>HIITIO</t>
        </is>
      </c>
      <c r="D12" s="71" t="n">
        <v>4</v>
      </c>
      <c r="E12" s="71" t="n">
        <v>5</v>
      </c>
      <c r="F12" s="71" t="inlineStr">
        <is>
          <t>—</t>
        </is>
      </c>
      <c r="G12" s="122" t="inlineStr">
        <is>
          <t>Bring-up + SPOF-stop</t>
        </is>
      </c>
      <c r="H12" s="71" t="inlineStr">
        <is>
          <t>F37 (precharge), H-05..H-09</t>
        </is>
      </c>
      <c r="I12" s="71" t="inlineStr">
        <is>
          <t>Med</t>
        </is>
      </c>
      <c r="J12" s="76" t="n">
        <v>2</v>
      </c>
      <c r="K12" s="76" t="n">
        <v>3</v>
      </c>
      <c r="L12" s="77">
        <f>IF(AND(ISNUMBER(J12),ISNUMBER(K12)),J12+K12,"")</f>
        <v/>
      </c>
      <c r="M12" s="71">
        <f>IF(AND(ISNUMBER(L12),ISNUMBER(E12)),L12-E12,"")</f>
        <v/>
      </c>
      <c r="N12" s="71" t="inlineStr">
        <is>
          <t>Common P/N in 4 places; first-energization faults and inrush events blow fuses. Aligned to BOM target (5).</t>
        </is>
      </c>
      <c r="O12" s="71" t="inlineStr">
        <is>
          <t>Precharge/inrush verified at full voltage (H-07) and 30 days without a fuse event</t>
        </is>
      </c>
      <c r="P12" s="71" t="inlineStr">
        <is>
          <t>Bryan</t>
        </is>
      </c>
      <c r="Q12" s="71" t="inlineStr">
        <is>
          <t>Open</t>
        </is>
      </c>
    </row>
    <row r="13" ht="23.25" customHeight="1" s="65">
      <c r="A13" s="71" t="inlineStr">
        <is>
          <t>4.1.5</t>
        </is>
      </c>
      <c r="B13" s="71" t="inlineStr">
        <is>
          <t>DC-link / chopper fuse</t>
        </is>
      </c>
      <c r="C13" s="71" t="inlineStr">
        <is>
          <t>TBD (not defined)</t>
        </is>
      </c>
      <c r="D13" s="71" t="n">
        <v>4</v>
      </c>
      <c r="E13" s="71" t="n"/>
      <c r="F13" s="71" t="inlineStr">
        <is>
          <t>—</t>
        </is>
      </c>
      <c r="G13" s="122" t="inlineStr">
        <is>
          <t>Bring-up + SPOF-degrade</t>
        </is>
      </c>
      <c r="H13" s="71" t="inlineStr">
        <is>
          <t>F22</t>
        </is>
      </c>
      <c r="I13" s="71" t="inlineStr">
        <is>
          <t>Med</t>
        </is>
      </c>
      <c r="J13" s="76" t="n">
        <v>2</v>
      </c>
      <c r="K13" s="76" t="n">
        <v>1</v>
      </c>
      <c r="L13" s="77">
        <f>IF(AND(ISNUMBER(J13),ISNUMBER(K13)),J13+K13,"")</f>
        <v/>
      </c>
      <c r="M13" s="71">
        <f>IF(AND(ISNUMBER(L13),ISNUMBER(E13)),L13-E13,"")</f>
        <v/>
      </c>
      <c r="N13" s="71" t="inlineStr">
        <is>
          <t>One per chopper; blown fuse = axle out.</t>
        </is>
      </c>
      <c r="O13" s="71" t="inlineStr">
        <is>
          <t>P/N defined and no fuse event through J-11</t>
        </is>
      </c>
      <c r="P13" s="71" t="inlineStr">
        <is>
          <t>Jack</t>
        </is>
      </c>
      <c r="Q13" s="71" t="inlineStr">
        <is>
          <t>Open</t>
        </is>
      </c>
    </row>
    <row r="14" ht="15" customHeight="1" s="65">
      <c r="A14" s="71" t="inlineStr">
        <is>
          <t>4.1.6</t>
        </is>
      </c>
      <c r="B14" s="71" t="inlineStr">
        <is>
          <t>Power contactor (traction)</t>
        </is>
      </c>
      <c r="C14" s="71" t="inlineStr">
        <is>
          <t>HHR item</t>
        </is>
      </c>
      <c r="D14" s="71" t="n">
        <v>10</v>
      </c>
      <c r="E14" s="71" t="n"/>
      <c r="F14" s="71" t="inlineStr">
        <is>
          <t>—</t>
        </is>
      </c>
      <c r="G14" s="123" t="inlineStr">
        <is>
          <t>Wear</t>
        </is>
      </c>
      <c r="H14" s="71" t="inlineStr">
        <is>
          <t>F53</t>
        </is>
      </c>
      <c r="I14" s="71" t="inlineStr">
        <is>
          <t>Med</t>
        </is>
      </c>
      <c r="J14" s="76" t="n">
        <v>1</v>
      </c>
      <c r="K14" s="76" t="n">
        <v>1</v>
      </c>
      <c r="L14" s="77">
        <f>IF(AND(ISNUMBER(J14),ISNUMBER(K14)),J14+K14,"")</f>
        <v/>
      </c>
      <c r="M14" s="71">
        <f>IF(AND(ISNUMBER(L14),ISNUMBER(E14)),L14-E14,"")</f>
        <v/>
      </c>
      <c r="N14" s="71" t="inlineStr">
        <is>
          <t>Switcher stop/go cycling (F53).</t>
        </is>
      </c>
      <c r="O14" s="71" t="inlineStr">
        <is>
          <t>Cycle count from J-18 well inside rating</t>
        </is>
      </c>
      <c r="P14" s="71" t="inlineStr">
        <is>
          <t>Dragan</t>
        </is>
      </c>
      <c r="Q14" s="71" t="inlineStr">
        <is>
          <t>Open</t>
        </is>
      </c>
    </row>
    <row r="15" ht="15" customHeight="1" s="65">
      <c r="A15" s="71" t="inlineStr">
        <is>
          <t>4.1.8.4</t>
        </is>
      </c>
      <c r="B15" s="71" t="inlineStr">
        <is>
          <t>HV precharge resistor</t>
        </is>
      </c>
      <c r="C15" s="71" t="inlineStr">
        <is>
          <t>TBD</t>
        </is>
      </c>
      <c r="D15" s="71" t="n">
        <v>2</v>
      </c>
      <c r="E15" s="71" t="n"/>
      <c r="F15" s="71" t="inlineStr">
        <is>
          <t>—</t>
        </is>
      </c>
      <c r="G15" s="122" t="inlineStr">
        <is>
          <t>Bring-up</t>
        </is>
      </c>
      <c r="H15" s="71" t="inlineStr">
        <is>
          <t>F37</t>
        </is>
      </c>
      <c r="I15" s="71" t="inlineStr">
        <is>
          <t>Short</t>
        </is>
      </c>
      <c r="J15" s="76" t="n">
        <v>1</v>
      </c>
      <c r="K15" s="76" t="n">
        <v>0</v>
      </c>
      <c r="L15" s="77">
        <f>IF(AND(ISNUMBER(J15),ISNUMBER(K15)),J15+K15,"")</f>
        <v/>
      </c>
      <c r="M15" s="71">
        <f>IF(AND(ISNUMBER(L15),ISNUMBER(E15)),L15-E15,"")</f>
        <v/>
      </c>
      <c r="N15" s="71" t="inlineStr">
        <is>
          <t>Most likely part to fail at first precharge.</t>
        </is>
      </c>
      <c r="O15" s="71" t="inlineStr">
        <is>
          <t>H-07 passes at full voltage</t>
        </is>
      </c>
      <c r="P15" s="71" t="inlineStr">
        <is>
          <t>Jack</t>
        </is>
      </c>
      <c r="Q15" s="71" t="inlineStr">
        <is>
          <t>Open</t>
        </is>
      </c>
    </row>
    <row r="16" ht="34.5" customHeight="1" s="65">
      <c r="A16" s="71" t="inlineStr">
        <is>
          <t>4.1.8.2 / 5.3.4 / 6.1.4.4 / 6.1.9.4</t>
        </is>
      </c>
      <c r="B16" s="71" t="inlineStr">
        <is>
          <t>Contactor REC47B1JA (string + precharge)</t>
        </is>
      </c>
      <c r="C16" s="71" t="inlineStr">
        <is>
          <t>Rincon REC47B1JA</t>
        </is>
      </c>
      <c r="D16" s="71" t="n">
        <v>27</v>
      </c>
      <c r="E16" s="71" t="n"/>
      <c r="F16" s="71" t="inlineStr">
        <is>
          <t>—</t>
        </is>
      </c>
      <c r="G16" s="123" t="inlineStr">
        <is>
          <t>Wear + SPOF-degrade</t>
        </is>
      </c>
      <c r="H16" s="71" t="inlineStr">
        <is>
          <t>F37, F53</t>
        </is>
      </c>
      <c r="I16" s="71" t="inlineStr">
        <is>
          <t>Med</t>
        </is>
      </c>
      <c r="J16" s="76" t="n">
        <v>2</v>
      </c>
      <c r="K16" s="76" t="n">
        <v>2</v>
      </c>
      <c r="L16" s="77">
        <f>IF(AND(ISNUMBER(J16),ISNUMBER(K16)),J16+K16,"")</f>
        <v/>
      </c>
      <c r="M16" s="71">
        <f>IF(AND(ISNUMBER(L16),ISNUMBER(E16)),L16-E16,"")</f>
        <v/>
      </c>
      <c r="N16" s="71" t="inlineStr">
        <is>
          <t>27 installed; a welded/failed string contactor removes a string (fault sweep: small effect) but a precharge contactor stops HV.</t>
        </is>
      </c>
      <c r="O16" s="71" t="inlineStr">
        <is>
          <t>30 days of cycles with no feedback fault</t>
        </is>
      </c>
      <c r="P16" s="71" t="inlineStr">
        <is>
          <t>Bryan</t>
        </is>
      </c>
      <c r="Q16" s="71" t="inlineStr">
        <is>
          <t>Open</t>
        </is>
      </c>
    </row>
    <row r="17" ht="23.25" customHeight="1" s="65">
      <c r="A17" s="71" t="inlineStr">
        <is>
          <t>6.1.4.5 / 6.1.9.5</t>
        </is>
      </c>
      <c r="B17" s="71" t="inlineStr">
        <is>
          <t>Contactor RXR1KB1QC (panto + charger mains)</t>
        </is>
      </c>
      <c r="C17" s="71" t="inlineStr">
        <is>
          <t>Rincon RXR1KB1QC</t>
        </is>
      </c>
      <c r="D17" s="71" t="n">
        <v>6</v>
      </c>
      <c r="E17" s="71" t="n"/>
      <c r="F17" s="71" t="inlineStr">
        <is>
          <t>—</t>
        </is>
      </c>
      <c r="G17" s="121" t="inlineStr">
        <is>
          <t>SPOF-stop (charging)</t>
        </is>
      </c>
      <c r="H17" s="71" t="inlineStr">
        <is>
          <t>F12, F37</t>
        </is>
      </c>
      <c r="I17" s="71" t="inlineStr">
        <is>
          <t>Med</t>
        </is>
      </c>
      <c r="J17" s="76" t="n">
        <v>1</v>
      </c>
      <c r="K17" s="76" t="n">
        <v>1</v>
      </c>
      <c r="L17" s="77">
        <f>IF(AND(ISNUMBER(J17),ISNUMBER(K17)),J17+K17,"")</f>
        <v/>
      </c>
      <c r="M17" s="71">
        <f>IF(AND(ISNUMBER(L17),ISNUMBER(E17)),L17-E17,"")</f>
        <v/>
      </c>
      <c r="N17" s="71" t="inlineStr">
        <is>
          <t>Charging path; MCS units (8) deferred, not counted.</t>
        </is>
      </c>
      <c r="O17" s="71" t="inlineStr">
        <is>
          <t>Static + dynamic charging pass (J-08/J-09)</t>
        </is>
      </c>
      <c r="P17" s="71" t="inlineStr">
        <is>
          <t>Bryan</t>
        </is>
      </c>
      <c r="Q17" s="71" t="inlineStr">
        <is>
          <t>Open</t>
        </is>
      </c>
    </row>
    <row r="18" ht="23.25" customHeight="1" s="65">
      <c r="A18" s="71" t="inlineStr">
        <is>
          <t>4.1.8.3 / 6.1.4.6 / 6.1.9.6</t>
        </is>
      </c>
      <c r="B18" s="71" t="inlineStr">
        <is>
          <t>Contactor RECNC46B1QA (discharge)</t>
        </is>
      </c>
      <c r="C18" s="71" t="inlineStr">
        <is>
          <t>Rincon RECNC46B1QA</t>
        </is>
      </c>
      <c r="D18" s="71" t="n">
        <v>3</v>
      </c>
      <c r="E18" s="71" t="n"/>
      <c r="F18" s="71" t="inlineStr">
        <is>
          <t>—</t>
        </is>
      </c>
      <c r="G18" s="121" t="inlineStr">
        <is>
          <t>Safety</t>
        </is>
      </c>
      <c r="H18" s="71" t="inlineStr">
        <is>
          <t>F15</t>
        </is>
      </c>
      <c r="I18" s="71" t="inlineStr">
        <is>
          <t>Med</t>
        </is>
      </c>
      <c r="J18" s="76" t="n">
        <v>1</v>
      </c>
      <c r="K18" s="76" t="n">
        <v>0</v>
      </c>
      <c r="L18" s="77">
        <f>IF(AND(ISNUMBER(J18),ISNUMBER(K18)),J18+K18,"")</f>
        <v/>
      </c>
      <c r="M18" s="71">
        <f>IF(AND(ISNUMBER(L18),ISNUMBER(E18)),L18-E18,"")</f>
        <v/>
      </c>
      <c r="N18" s="71" t="inlineStr">
        <is>
          <t>Discharge path is part of HV-safe state.</t>
        </is>
      </c>
      <c r="O18" s="71" t="inlineStr">
        <is>
          <t>H-11 discharge verified</t>
        </is>
      </c>
      <c r="P18" s="71" t="inlineStr">
        <is>
          <t>Bryan</t>
        </is>
      </c>
      <c r="Q18" s="71" t="inlineStr">
        <is>
          <t>Open</t>
        </is>
      </c>
    </row>
    <row r="19" ht="15" customHeight="1" s="65">
      <c r="A19" s="71" t="inlineStr">
        <is>
          <t>3.7.2 / 9.6.2</t>
        </is>
      </c>
      <c r="B19" s="71" t="inlineStr">
        <is>
          <t>E-Stop contact block (1NO+1NC)</t>
        </is>
      </c>
      <c r="C19" s="71" t="inlineStr">
        <is>
          <t>Schneider 9001KA1</t>
        </is>
      </c>
      <c r="D19" s="71" t="n">
        <v>2</v>
      </c>
      <c r="E19" s="71" t="n"/>
      <c r="F19" s="71" t="inlineStr">
        <is>
          <t>—</t>
        </is>
      </c>
      <c r="G19" s="121" t="inlineStr">
        <is>
          <t>Safety</t>
        </is>
      </c>
      <c r="H19" s="71" t="inlineStr">
        <is>
          <t>E-Stop tests</t>
        </is>
      </c>
      <c r="I19" s="71" t="inlineStr">
        <is>
          <t>Short</t>
        </is>
      </c>
      <c r="J19" s="76" t="n">
        <v>2</v>
      </c>
      <c r="K19" s="76" t="n">
        <v>0</v>
      </c>
      <c r="L19" s="77">
        <f>IF(AND(ISNUMBER(J19),ISNUMBER(K19)),J19+K19,"")</f>
        <v/>
      </c>
      <c r="M19" s="71">
        <f>IF(AND(ISNUMBER(L19),ISNUMBER(E19)),L19-E19,"")</f>
        <v/>
      </c>
      <c r="N19" s="71" t="inlineStr">
        <is>
          <t>Cheap; E-Stop chain must be intact to run.</t>
        </is>
      </c>
      <c r="O19" s="71" t="inlineStr">
        <is>
          <t>—</t>
        </is>
      </c>
      <c r="P19" s="71" t="inlineStr">
        <is>
          <t>Bryan</t>
        </is>
      </c>
      <c r="Q19" s="71" t="inlineStr">
        <is>
          <t>Open</t>
        </is>
      </c>
    </row>
    <row r="20" ht="15" customHeight="1" s="65">
      <c r="A20" s="71" t="inlineStr">
        <is>
          <t>3.7.1</t>
        </is>
      </c>
      <c r="B20" s="71" t="inlineStr">
        <is>
          <t>E-Stop mushroom body</t>
        </is>
      </c>
      <c r="C20" s="71" t="inlineStr">
        <is>
          <t>Schneider 9001SKR9R</t>
        </is>
      </c>
      <c r="D20" s="71" t="n">
        <v>1</v>
      </c>
      <c r="E20" s="71" t="n"/>
      <c r="F20" s="71" t="inlineStr">
        <is>
          <t>—</t>
        </is>
      </c>
      <c r="G20" s="121" t="inlineStr">
        <is>
          <t>Safety</t>
        </is>
      </c>
      <c r="H20" s="71" t="inlineStr">
        <is>
          <t>E-Stop tests</t>
        </is>
      </c>
      <c r="I20" s="71" t="inlineStr">
        <is>
          <t>Short</t>
        </is>
      </c>
      <c r="J20" s="76" t="n">
        <v>1</v>
      </c>
      <c r="K20" s="76" t="n">
        <v>0</v>
      </c>
      <c r="L20" s="77">
        <f>IF(AND(ISNUMBER(J20),ISNUMBER(K20)),J20+K20,"")</f>
        <v/>
      </c>
      <c r="M20" s="71">
        <f>IF(AND(ISNUMBER(L20),ISNUMBER(E20)),L20-E20,"")</f>
        <v/>
      </c>
      <c r="N20" s="71" t="inlineStr">
        <is>
          <t>As above.</t>
        </is>
      </c>
      <c r="O20" s="71" t="inlineStr">
        <is>
          <t>—</t>
        </is>
      </c>
      <c r="P20" s="71" t="inlineStr">
        <is>
          <t>Bryan</t>
        </is>
      </c>
      <c r="Q20" s="71" t="inlineStr">
        <is>
          <t>Open</t>
        </is>
      </c>
    </row>
    <row r="21" ht="15" customHeight="1" s="65">
      <c r="A21" s="71" t="inlineStr">
        <is>
          <t>4.1.9 / 6.1.6.2</t>
        </is>
      </c>
      <c r="B21" s="71" t="inlineStr">
        <is>
          <t>E-Stop hardware timer (Voltify)</t>
        </is>
      </c>
      <c r="C21" s="71" t="inlineStr">
        <is>
          <t>Voltify</t>
        </is>
      </c>
      <c r="D21" s="71" t="n">
        <v>2</v>
      </c>
      <c r="E21" s="71" t="n"/>
      <c r="F21" s="71" t="inlineStr">
        <is>
          <t>—</t>
        </is>
      </c>
      <c r="G21" s="121" t="inlineStr">
        <is>
          <t>Safety + SPOF-stop</t>
        </is>
      </c>
      <c r="H21" s="71" t="inlineStr">
        <is>
          <t>E-Stop tests</t>
        </is>
      </c>
      <c r="I21" s="71" t="inlineStr">
        <is>
          <t>Med</t>
        </is>
      </c>
      <c r="J21" s="76" t="n">
        <v>1</v>
      </c>
      <c r="K21" s="76" t="n">
        <v>0</v>
      </c>
      <c r="L21" s="77">
        <f>IF(AND(ISNUMBER(J21),ISNUMBER(K21)),J21+K21,"")</f>
        <v/>
      </c>
      <c r="M21" s="71">
        <f>IF(AND(ISNUMBER(L21),ISNUMBER(E21)),L21-E21,"")</f>
        <v/>
      </c>
      <c r="N21" s="71" t="inlineStr">
        <is>
          <t>Custom board; no off-the-shelf replacement.</t>
        </is>
      </c>
      <c r="O21" s="71" t="inlineStr">
        <is>
          <t>Board passes H-09/H-10 and 30 days</t>
        </is>
      </c>
      <c r="P21" s="71" t="inlineStr">
        <is>
          <t>Micah</t>
        </is>
      </c>
      <c r="Q21" s="71" t="inlineStr">
        <is>
          <t>Open</t>
        </is>
      </c>
    </row>
    <row r="22" ht="23.25" customHeight="1" s="65">
      <c r="A22" s="71" t="inlineStr">
        <is>
          <t>6.3</t>
        </is>
      </c>
      <c r="B22" s="71" t="inlineStr">
        <is>
          <t>750V-PS (1500 to 750 V DC/DC)</t>
        </is>
      </c>
      <c r="C22" s="71" t="inlineStr">
        <is>
          <t>Zekalabs LB-1186-01-01</t>
        </is>
      </c>
      <c r="D22" s="71" t="n">
        <v>1</v>
      </c>
      <c r="E22" s="71" t="n"/>
      <c r="F22" s="71" t="inlineStr">
        <is>
          <t>—</t>
        </is>
      </c>
      <c r="G22" s="121" t="inlineStr">
        <is>
          <t>SPOF-stop + single source</t>
        </is>
      </c>
      <c r="H22" s="71" t="inlineStr">
        <is>
          <t>AUX_DCDC_TRIP (fault sweep), F59, F64; RSK-108</t>
        </is>
      </c>
      <c r="I22" s="71" t="inlineStr">
        <is>
          <t>Long</t>
        </is>
      </c>
      <c r="J22" s="76" t="n">
        <v>1</v>
      </c>
      <c r="K22" s="76" t="n">
        <v>0</v>
      </c>
      <c r="L22" s="77">
        <f>IF(AND(ISNUMBER(J22),ISNUMBER(K22)),J22+K22,"")</f>
        <v/>
      </c>
      <c r="M22" s="71">
        <f>IF(AND(ISNUMBER(L22),ISNUMBER(E22)),L22-E22,"")</f>
        <v/>
      </c>
      <c r="N22" s="71" t="inlineStr">
        <is>
          <t>Loss = all aux, TMS, blowers and compressor lost. Single source; thermal-derate troubleshooting ongoing.</t>
        </is>
      </c>
      <c r="O22" s="71" t="inlineStr">
        <is>
          <t>Vendor derate issue closed and 30 days clean</t>
        </is>
      </c>
      <c r="P22" s="71" t="inlineStr">
        <is>
          <t>Bryan</t>
        </is>
      </c>
      <c r="Q22" s="71" t="inlineStr">
        <is>
          <t>Open</t>
        </is>
      </c>
    </row>
    <row r="23" ht="23.25" customHeight="1" s="65">
      <c r="A23" s="71" t="inlineStr">
        <is>
          <t>4.2</t>
        </is>
      </c>
      <c r="B23" s="71" t="inlineStr">
        <is>
          <t>72V-PS (750 to 72 V DC/DC)</t>
        </is>
      </c>
      <c r="C23" s="71" t="inlineStr">
        <is>
          <t>Zekalabs LB-1113-41</t>
        </is>
      </c>
      <c r="D23" s="71" t="n">
        <v>1</v>
      </c>
      <c r="E23" s="71" t="n"/>
      <c r="F23" s="71" t="inlineStr">
        <is>
          <t>—</t>
        </is>
      </c>
      <c r="G23" s="121" t="inlineStr">
        <is>
          <t>SPOF-stop + single source</t>
        </is>
      </c>
      <c r="H23" s="71" t="inlineStr">
        <is>
          <t>72 V bus, F40</t>
        </is>
      </c>
      <c r="I23" s="71" t="inlineStr">
        <is>
          <t>Long</t>
        </is>
      </c>
      <c r="J23" s="76" t="n">
        <v>1</v>
      </c>
      <c r="K23" s="76" t="n">
        <v>0</v>
      </c>
      <c r="L23" s="77">
        <f>IF(AND(ISNUMBER(J23),ISNUMBER(K23)),J23+K23,"")</f>
        <v/>
      </c>
      <c r="M23" s="71">
        <f>IF(AND(ISNUMBER(L23),ISNUMBER(E23)),L23-E23,"")</f>
        <v/>
      </c>
      <c r="N23" s="71" t="inlineStr">
        <is>
          <t>Loss = 72 V on starter battery only (hours). Ties to open Zekalabs PO quantity question (1 vs 3).</t>
        </is>
      </c>
      <c r="O23" s="71" t="inlineStr">
        <is>
          <t>As above</t>
        </is>
      </c>
      <c r="P23" s="71" t="inlineStr">
        <is>
          <t>Bryan</t>
        </is>
      </c>
      <c r="Q23" s="71" t="inlineStr">
        <is>
          <t>Open</t>
        </is>
      </c>
    </row>
    <row r="24" ht="34.5" customHeight="1" s="65">
      <c r="A24" s="71" t="inlineStr">
        <is>
          <t>4.3 / 7.5</t>
        </is>
      </c>
      <c r="B24" s="71" t="inlineStr">
        <is>
          <t>AC inverter (blower + compressor)</t>
        </is>
      </c>
      <c r="C24" s="71" t="inlineStr">
        <is>
          <t>Inmotion ACH65M30-WEHT</t>
        </is>
      </c>
      <c r="D24" s="71" t="n">
        <v>2</v>
      </c>
      <c r="E24" s="71" t="n"/>
      <c r="F24" s="71" t="inlineStr">
        <is>
          <t>—</t>
        </is>
      </c>
      <c r="G24" s="121" t="inlineStr">
        <is>
          <t>SPOF-stop (compressor) / degrade (blowers)</t>
        </is>
      </c>
      <c r="H24" s="71" t="inlineStr">
        <is>
          <t>F64</t>
        </is>
      </c>
      <c r="I24" s="71" t="inlineStr">
        <is>
          <t>Long</t>
        </is>
      </c>
      <c r="J24" s="76" t="n">
        <v>0</v>
      </c>
      <c r="K24" s="76" t="n">
        <v>1</v>
      </c>
      <c r="L24" s="77">
        <f>IF(AND(ISNUMBER(J24),ISNUMBER(K24)),J24+K24,"")</f>
        <v/>
      </c>
      <c r="M24" s="71">
        <f>IF(AND(ISNUMBER(L24),ISNUMBER(E24)),L24-E24,"")</f>
        <v/>
      </c>
      <c r="N24" s="71" t="inlineStr">
        <is>
          <t>Common P/N; compressor loss = no air = no movement. One spare covers both.</t>
        </is>
      </c>
      <c r="O24" s="71" t="inlineStr">
        <is>
          <t>30 days with no inverter fault</t>
        </is>
      </c>
      <c r="P24" s="71" t="inlineStr">
        <is>
          <t>Bryan</t>
        </is>
      </c>
      <c r="Q24" s="71" t="inlineStr">
        <is>
          <t>Open</t>
        </is>
      </c>
    </row>
    <row r="25" ht="23.25" customHeight="1" s="65">
      <c r="A25" s="71" t="inlineStr">
        <is>
          <t>3.3.2</t>
        </is>
      </c>
      <c r="B25" s="71" t="inlineStr">
        <is>
          <t>24 V PS 500 W</t>
        </is>
      </c>
      <c r="C25" s="71" t="inlineStr">
        <is>
          <t>RECOM RMD500-110-24SEW</t>
        </is>
      </c>
      <c r="D25" s="71" t="n">
        <v>4</v>
      </c>
      <c r="E25" s="71" t="n">
        <v>4</v>
      </c>
      <c r="F25" s="71" t="inlineStr">
        <is>
          <t>—</t>
        </is>
      </c>
      <c r="G25" s="124" t="inlineStr">
        <is>
          <t>Degrade</t>
        </is>
      </c>
      <c r="H25" s="71" t="inlineStr">
        <is>
          <t>24V_Ctrl peak 72% load (POC budget)</t>
        </is>
      </c>
      <c r="I25" s="71" t="inlineStr">
        <is>
          <t>Short</t>
        </is>
      </c>
      <c r="J25" s="76" t="n">
        <v>2</v>
      </c>
      <c r="K25" s="76" t="n">
        <v>2</v>
      </c>
      <c r="L25" s="77">
        <f>IF(AND(ISNUMBER(J25),ISNUMBER(K25)),J25+K25,"")</f>
        <v/>
      </c>
      <c r="M25" s="71">
        <f>IF(AND(ISNUMBER(L25),ISNUMBER(E25)),L25-E25,"")</f>
        <v/>
      </c>
      <c r="N25" s="71" t="inlineStr">
        <is>
          <t>Loss of 1 of 4 leaves ~1.5 kW vs 1.45 kW peak: no margin. Aligned to BOM target (shown as "4?" in the BOM).</t>
        </is>
      </c>
      <c r="O25" s="71" t="inlineStr">
        <is>
          <t>Peak 24 V load measured &lt; 1.2 kW</t>
        </is>
      </c>
      <c r="P25" s="71" t="inlineStr">
        <is>
          <t>Bryan</t>
        </is>
      </c>
      <c r="Q25" s="71" t="inlineStr">
        <is>
          <t>Open</t>
        </is>
      </c>
    </row>
    <row r="26" ht="23.25" customHeight="1" s="65">
      <c r="A26" s="71" t="inlineStr">
        <is>
          <t>7.1.2</t>
        </is>
      </c>
      <c r="B26" s="71" t="inlineStr">
        <is>
          <t>BTMS 24 V PS (pumps)</t>
        </is>
      </c>
      <c r="C26" s="71" t="inlineStr">
        <is>
          <t>Inmotion DCC65M24</t>
        </is>
      </c>
      <c r="D26" s="71" t="n">
        <v>1</v>
      </c>
      <c r="E26" s="71" t="n">
        <v>1</v>
      </c>
      <c r="F26" s="71" t="inlineStr">
        <is>
          <t>—</t>
        </is>
      </c>
      <c r="G26" s="121" t="inlineStr">
        <is>
          <t>SPOF-stop (fast)</t>
        </is>
      </c>
      <c r="H26" s="71" t="inlineStr">
        <is>
          <t>F61, PE_PUMP_FAIL (fault sweep); RSK-NEW-30</t>
        </is>
      </c>
      <c r="I26" s="71" t="inlineStr">
        <is>
          <t>Long</t>
        </is>
      </c>
      <c r="J26" s="76" t="n">
        <v>1</v>
      </c>
      <c r="K26" s="76" t="n">
        <v>0</v>
      </c>
      <c r="L26" s="77">
        <f>IF(AND(ISNUMBER(J26),ISNUMBER(K26)),J26+K26,"")</f>
        <v/>
      </c>
      <c r="M26" s="71">
        <f>IF(AND(ISNUMBER(L26),ISNUMBER(E26)),L26-E26,"")</f>
        <v/>
      </c>
      <c r="N26" s="71" t="inlineStr">
        <is>
          <t>Feeds all 6 SPAL pumps: loss = PE pump failure = choppers &gt; 63 C at once. Keep BOM target.</t>
        </is>
      </c>
      <c r="O26" s="71" t="inlineStr">
        <is>
          <t>Flow-loss trip implemented (H-34) and 30 days clean</t>
        </is>
      </c>
      <c r="P26" s="71" t="inlineStr">
        <is>
          <t>Bryan</t>
        </is>
      </c>
      <c r="Q26" s="71" t="inlineStr">
        <is>
          <t>Open</t>
        </is>
      </c>
    </row>
    <row r="27" ht="15" customHeight="1" s="65">
      <c r="A27" s="71" t="inlineStr">
        <is>
          <t>7.1.3</t>
        </is>
      </c>
      <c r="B27" s="71" t="inlineStr">
        <is>
          <t>BTMS 12 V PS (MTM LV, SPAL fans)</t>
        </is>
      </c>
      <c r="C27" s="71" t="inlineStr">
        <is>
          <t>NetPower DG16K0-14BL</t>
        </is>
      </c>
      <c r="D27" s="71" t="n">
        <v>1</v>
      </c>
      <c r="E27" s="71" t="n">
        <v>1</v>
      </c>
      <c r="F27" s="71" t="inlineStr">
        <is>
          <t>—</t>
        </is>
      </c>
      <c r="G27" s="71" t="inlineStr">
        <is>
          <t>SPOF-degrade</t>
        </is>
      </c>
      <c r="H27" s="71" t="inlineStr">
        <is>
          <t>F59, F55</t>
        </is>
      </c>
      <c r="I27" s="71" t="inlineStr">
        <is>
          <t>Med</t>
        </is>
      </c>
      <c r="J27" s="76" t="n">
        <v>1</v>
      </c>
      <c r="K27" s="76" t="n">
        <v>0</v>
      </c>
      <c r="L27" s="77">
        <f>IF(AND(ISNUMBER(J27),ISNUMBER(K27)),J27+K27,"")</f>
        <v/>
      </c>
      <c r="M27" s="71">
        <f>IF(AND(ISNUMBER(L27),ISNUMBER(E27)),L27-E27,"")</f>
        <v/>
      </c>
      <c r="N27" s="71" t="inlineStr">
        <is>
          <t>Feeds MTM ECUs and 12 V fans. Keep BOM target.</t>
        </is>
      </c>
      <c r="O27" s="71" t="inlineStr">
        <is>
          <t>As above</t>
        </is>
      </c>
      <c r="P27" s="71" t="inlineStr">
        <is>
          <t>Bryan</t>
        </is>
      </c>
      <c r="Q27" s="71" t="inlineStr">
        <is>
          <t>Open</t>
        </is>
      </c>
    </row>
    <row r="28" ht="15" customHeight="1" s="65">
      <c r="A28" s="71" t="inlineStr">
        <is>
          <t>7.1.1.2</t>
        </is>
      </c>
      <c r="B28" s="71" t="inlineStr">
        <is>
          <t>750 V fuse, BTMS module</t>
        </is>
      </c>
      <c r="C28" s="71" t="inlineStr">
        <is>
          <t>Eaton EVK22-60-T</t>
        </is>
      </c>
      <c r="D28" s="71" t="n">
        <v>4</v>
      </c>
      <c r="E28" s="71" t="n">
        <v>5</v>
      </c>
      <c r="F28" s="71" t="inlineStr">
        <is>
          <t>—</t>
        </is>
      </c>
      <c r="G28" s="122" t="inlineStr">
        <is>
          <t>Bring-up</t>
        </is>
      </c>
      <c r="H28" s="71" t="inlineStr">
        <is>
          <t>F55</t>
        </is>
      </c>
      <c r="I28" s="71" t="inlineStr">
        <is>
          <t>Short</t>
        </is>
      </c>
      <c r="J28" s="76" t="n">
        <v>2</v>
      </c>
      <c r="K28" s="76" t="n">
        <v>3</v>
      </c>
      <c r="L28" s="77">
        <f>IF(AND(ISNUMBER(J28),ISNUMBER(K28)),J28+K28,"")</f>
        <v/>
      </c>
      <c r="M28" s="71">
        <f>IF(AND(ISNUMBER(L28),ISNUMBER(E28)),L28-E28,"")</f>
        <v/>
      </c>
      <c r="N28" s="71" t="inlineStr">
        <is>
          <t>Aligned to BOM target (5).</t>
        </is>
      </c>
      <c r="O28" s="71" t="inlineStr">
        <is>
          <t>No fuse event through J-11</t>
        </is>
      </c>
      <c r="P28" s="71" t="inlineStr">
        <is>
          <t>Bryan</t>
        </is>
      </c>
      <c r="Q28" s="71" t="inlineStr">
        <is>
          <t>Open</t>
        </is>
      </c>
    </row>
    <row r="29" ht="15" customHeight="1" s="65">
      <c r="A29" s="71" t="inlineStr">
        <is>
          <t>7.1.1.3</t>
        </is>
      </c>
      <c r="B29" s="71" t="inlineStr">
        <is>
          <t>750 V fuse, PTC heater</t>
        </is>
      </c>
      <c r="C29" s="71" t="inlineStr">
        <is>
          <t>Eaton EKM10-30-AT</t>
        </is>
      </c>
      <c r="D29" s="71" t="n">
        <v>1</v>
      </c>
      <c r="E29" s="71" t="n">
        <v>5</v>
      </c>
      <c r="F29" s="71" t="inlineStr">
        <is>
          <t>—</t>
        </is>
      </c>
      <c r="G29" s="122" t="inlineStr">
        <is>
          <t>Bring-up</t>
        </is>
      </c>
      <c r="H29" s="71" t="inlineStr">
        <is>
          <t>F56</t>
        </is>
      </c>
      <c r="I29" s="71" t="inlineStr">
        <is>
          <t>Short</t>
        </is>
      </c>
      <c r="J29" s="76" t="n">
        <v>2</v>
      </c>
      <c r="K29" s="76" t="n">
        <v>3</v>
      </c>
      <c r="L29" s="77">
        <f>IF(AND(ISNUMBER(J29),ISNUMBER(K29)),J29+K29,"")</f>
        <v/>
      </c>
      <c r="M29" s="71">
        <f>IF(AND(ISNUMBER(L29),ISNUMBER(E29)),L29-E29,"")</f>
        <v/>
      </c>
      <c r="N29" s="71" t="inlineStr">
        <is>
          <t>Aligned to BOM target (5).</t>
        </is>
      </c>
      <c r="O29" s="71" t="inlineStr">
        <is>
          <t>As above</t>
        </is>
      </c>
      <c r="P29" s="71" t="inlineStr">
        <is>
          <t>Bryan</t>
        </is>
      </c>
      <c r="Q29" s="71" t="inlineStr">
        <is>
          <t>Open</t>
        </is>
      </c>
    </row>
    <row r="30" ht="23.25" customHeight="1" s="65">
      <c r="A30" s="71" t="inlineStr">
        <is>
          <t>7.1.1.4</t>
        </is>
      </c>
      <c r="B30" s="71" t="inlineStr">
        <is>
          <t>750 V fuse, BTMS 24 V PS</t>
        </is>
      </c>
      <c r="C30" s="71" t="inlineStr">
        <is>
          <t>TBD</t>
        </is>
      </c>
      <c r="D30" s="71" t="n">
        <v>1</v>
      </c>
      <c r="E30" s="71" t="n">
        <v>5</v>
      </c>
      <c r="F30" s="71" t="inlineStr">
        <is>
          <t>—</t>
        </is>
      </c>
      <c r="G30" s="122" t="inlineStr">
        <is>
          <t>Bring-up</t>
        </is>
      </c>
      <c r="H30" s="71" t="inlineStr">
        <is>
          <t>F61</t>
        </is>
      </c>
      <c r="I30" s="71" t="inlineStr">
        <is>
          <t>Short</t>
        </is>
      </c>
      <c r="J30" s="76" t="n">
        <v>2</v>
      </c>
      <c r="K30" s="76" t="n">
        <v>3</v>
      </c>
      <c r="L30" s="77">
        <f>IF(AND(ISNUMBER(J30),ISNUMBER(K30)),J30+K30,"")</f>
        <v/>
      </c>
      <c r="M30" s="71">
        <f>IF(AND(ISNUMBER(L30),ISNUMBER(E30)),L30-E30,"")</f>
        <v/>
      </c>
      <c r="N30" s="71" t="inlineStr">
        <is>
          <t>Blown fuse = all pumps lost (fast failure). Aligned to BOM target (5).</t>
        </is>
      </c>
      <c r="O30" s="71" t="inlineStr">
        <is>
          <t>No fuse event through J-11</t>
        </is>
      </c>
      <c r="P30" s="71" t="inlineStr">
        <is>
          <t>Bryan</t>
        </is>
      </c>
      <c r="Q30" s="71" t="inlineStr">
        <is>
          <t>Open</t>
        </is>
      </c>
    </row>
    <row r="31" ht="23.25" customHeight="1" s="65">
      <c r="A31" s="71" t="inlineStr">
        <is>
          <t>7.1.1.5</t>
        </is>
      </c>
      <c r="B31" s="71" t="inlineStr">
        <is>
          <t>750 V fuse, BTMS 12 V PS</t>
        </is>
      </c>
      <c r="C31" s="71" t="inlineStr">
        <is>
          <t>TBD</t>
        </is>
      </c>
      <c r="D31" s="71" t="n">
        <v>1</v>
      </c>
      <c r="E31" s="71" t="n">
        <v>5</v>
      </c>
      <c r="F31" s="71" t="inlineStr">
        <is>
          <t>—</t>
        </is>
      </c>
      <c r="G31" s="122" t="inlineStr">
        <is>
          <t>Bring-up</t>
        </is>
      </c>
      <c r="H31" s="71" t="inlineStr">
        <is>
          <t>F59</t>
        </is>
      </c>
      <c r="I31" s="71" t="inlineStr">
        <is>
          <t>Short</t>
        </is>
      </c>
      <c r="J31" s="76" t="n">
        <v>2</v>
      </c>
      <c r="K31" s="76" t="n">
        <v>3</v>
      </c>
      <c r="L31" s="77">
        <f>IF(AND(ISNUMBER(J31),ISNUMBER(K31)),J31+K31,"")</f>
        <v/>
      </c>
      <c r="M31" s="71">
        <f>IF(AND(ISNUMBER(L31),ISNUMBER(E31)),L31-E31,"")</f>
        <v/>
      </c>
      <c r="N31" s="71" t="inlineStr">
        <is>
          <t>Blown fuse = MTM ECUs and 12 V fans lost. Aligned to BOM target (5).</t>
        </is>
      </c>
      <c r="O31" s="71" t="inlineStr">
        <is>
          <t>No fuse event through J-11</t>
        </is>
      </c>
      <c r="P31" s="71" t="inlineStr">
        <is>
          <t>Bryan</t>
        </is>
      </c>
      <c r="Q31" s="71" t="inlineStr">
        <is>
          <t>Open</t>
        </is>
      </c>
    </row>
    <row r="32" ht="23.25" customHeight="1" s="65">
      <c r="A32" s="71" t="inlineStr">
        <is>
          <t>6.6.2..6.6.5</t>
        </is>
      </c>
      <c r="B32" s="71" t="inlineStr">
        <is>
          <t>750 V fuse, VHR panel (72V-PS, inverters, BTMS box)</t>
        </is>
      </c>
      <c r="C32" s="71" t="inlineStr">
        <is>
          <t>TBD</t>
        </is>
      </c>
      <c r="D32" s="71" t="n">
        <v>4</v>
      </c>
      <c r="E32" s="71" t="n"/>
      <c r="F32" s="71" t="inlineStr">
        <is>
          <t>—</t>
        </is>
      </c>
      <c r="G32" s="122" t="inlineStr">
        <is>
          <t>Bring-up</t>
        </is>
      </c>
      <c r="H32" s="71" t="inlineStr">
        <is>
          <t>AUX_DCDC_TRIP</t>
        </is>
      </c>
      <c r="I32" s="71" t="inlineStr">
        <is>
          <t>Short</t>
        </is>
      </c>
      <c r="J32" s="76" t="n">
        <v>2</v>
      </c>
      <c r="K32" s="76" t="n">
        <v>2</v>
      </c>
      <c r="L32" s="77">
        <f>IF(AND(ISNUMBER(J32),ISNUMBER(K32)),J32+K32,"")</f>
        <v/>
      </c>
      <c r="M32" s="71">
        <f>IF(AND(ISNUMBER(L32),ISNUMBER(E32)),L32-E32,"")</f>
        <v/>
      </c>
      <c r="N32" s="71" t="inlineStr">
        <is>
          <t>One spare per rating; P/Ns not yet defined.</t>
        </is>
      </c>
      <c r="O32" s="71" t="inlineStr">
        <is>
          <t>P/Ns defined; no fuse event through J-11</t>
        </is>
      </c>
      <c r="P32" s="71" t="inlineStr">
        <is>
          <t>Jack</t>
        </is>
      </c>
      <c r="Q32" s="71" t="inlineStr">
        <is>
          <t>Open</t>
        </is>
      </c>
    </row>
    <row r="33" ht="15" customHeight="1" s="65">
      <c r="A33" s="71" t="inlineStr">
        <is>
          <t>7.6.1.1</t>
        </is>
      </c>
      <c r="B33" s="71" t="inlineStr">
        <is>
          <t>AC 3-phase contactor (compressor box)</t>
        </is>
      </c>
      <c r="C33" s="71" t="inlineStr">
        <is>
          <t>HHR item</t>
        </is>
      </c>
      <c r="D33" s="71" t="n">
        <v>2</v>
      </c>
      <c r="E33" s="71" t="n"/>
      <c r="F33" s="71" t="inlineStr">
        <is>
          <t>—</t>
        </is>
      </c>
      <c r="G33" s="121" t="inlineStr">
        <is>
          <t>SPOF-stop</t>
        </is>
      </c>
      <c r="H33" s="71" t="inlineStr">
        <is>
          <t>Air system</t>
        </is>
      </c>
      <c r="I33" s="71" t="inlineStr">
        <is>
          <t>Short</t>
        </is>
      </c>
      <c r="J33" s="76" t="n">
        <v>1</v>
      </c>
      <c r="K33" s="76" t="n">
        <v>0</v>
      </c>
      <c r="L33" s="77">
        <f>IF(AND(ISNUMBER(J33),ISNUMBER(K33)),J33+K33,"")</f>
        <v/>
      </c>
      <c r="M33" s="71">
        <f>IF(AND(ISNUMBER(L33),ISNUMBER(E33)),L33-E33,"")</f>
        <v/>
      </c>
      <c r="N33" s="71" t="inlineStr">
        <is>
          <t>Compressor start; no air = no movement.</t>
        </is>
      </c>
      <c r="O33" s="71" t="inlineStr">
        <is>
          <t>—</t>
        </is>
      </c>
      <c r="P33" s="71" t="inlineStr">
        <is>
          <t>Dragan</t>
        </is>
      </c>
      <c r="Q33" s="71" t="inlineStr">
        <is>
          <t>Open</t>
        </is>
      </c>
    </row>
    <row r="34" ht="23.25" customHeight="1" s="65">
      <c r="A34" s="71" t="inlineStr">
        <is>
          <t>3.2.2</t>
        </is>
      </c>
      <c r="B34" s="71" t="inlineStr">
        <is>
          <t>VMS computer</t>
        </is>
      </c>
      <c r="C34" s="71" t="inlineStr">
        <is>
          <t>Premio ACO-6000-CML-1</t>
        </is>
      </c>
      <c r="D34" s="71" t="n">
        <v>1</v>
      </c>
      <c r="E34" s="71" t="n">
        <v>1</v>
      </c>
      <c r="F34" s="71" t="inlineStr">
        <is>
          <t>C:2</t>
        </is>
      </c>
      <c r="G34" s="121" t="inlineStr">
        <is>
          <t>SPOF-stop</t>
        </is>
      </c>
      <c r="H34" s="71" t="inlineStr">
        <is>
          <t>F46, F51</t>
        </is>
      </c>
      <c r="I34" s="71" t="inlineStr">
        <is>
          <t>Med</t>
        </is>
      </c>
      <c r="J34" s="76" t="n">
        <v>1</v>
      </c>
      <c r="K34" s="76" t="n">
        <v>0</v>
      </c>
      <c r="L34" s="77">
        <f>IF(AND(ISNUMBER(J34),ISNUMBER(K34)),J34+K34,"")</f>
        <v/>
      </c>
      <c r="M34" s="71">
        <f>IF(AND(ISNUMBER(L34),ISNUMBER(E34)),L34-E34,"")</f>
        <v/>
      </c>
      <c r="N34" s="71" t="inlineStr">
        <is>
          <t>VMS loss = no HV state machine. Keep a pre-imaged unit (H-30 manifest).</t>
        </is>
      </c>
      <c r="O34" s="71" t="inlineStr">
        <is>
          <t>—</t>
        </is>
      </c>
      <c r="P34" s="71" t="inlineStr">
        <is>
          <t>Jared</t>
        </is>
      </c>
      <c r="Q34" s="71" t="inlineStr">
        <is>
          <t>Open</t>
        </is>
      </c>
    </row>
    <row r="35" ht="15" customHeight="1" s="65">
      <c r="A35" s="71" t="inlineStr">
        <is>
          <t>3.2.4</t>
        </is>
      </c>
      <c r="B35" s="71" t="inlineStr">
        <is>
          <t>ETH to 4x CAN gateway</t>
        </is>
      </c>
      <c r="C35" s="71" t="inlineStr">
        <is>
          <t>Kvaser</t>
        </is>
      </c>
      <c r="D35" s="71" t="n">
        <v>1</v>
      </c>
      <c r="E35" s="71" t="n">
        <v>1</v>
      </c>
      <c r="F35" s="71" t="inlineStr">
        <is>
          <t>—</t>
        </is>
      </c>
      <c r="G35" s="121" t="inlineStr">
        <is>
          <t>SPOF-stop</t>
        </is>
      </c>
      <c r="H35" s="71" t="inlineStr">
        <is>
          <t>F46, F21</t>
        </is>
      </c>
      <c r="I35" s="71" t="inlineStr">
        <is>
          <t>Short</t>
        </is>
      </c>
      <c r="J35" s="76" t="n">
        <v>1</v>
      </c>
      <c r="K35" s="76" t="n">
        <v>0</v>
      </c>
      <c r="L35" s="77">
        <f>IF(AND(ISNUMBER(J35),ISNUMBER(K35)),J35+K35,"")</f>
        <v/>
      </c>
      <c r="M35" s="71">
        <f>IF(AND(ISNUMBER(L35),ISNUMBER(E35)),L35-E35,"")</f>
        <v/>
      </c>
      <c r="N35" s="71" t="inlineStr">
        <is>
          <t>All 4 CAN buses to VMS pass through it.</t>
        </is>
      </c>
      <c r="O35" s="71" t="inlineStr">
        <is>
          <t>—</t>
        </is>
      </c>
      <c r="P35" s="71" t="inlineStr">
        <is>
          <t>Jared</t>
        </is>
      </c>
      <c r="Q35" s="71" t="inlineStr">
        <is>
          <t>Open</t>
        </is>
      </c>
    </row>
    <row r="36" ht="23.25" customHeight="1" s="65">
      <c r="A36" s="71" t="inlineStr">
        <is>
          <t>3.2.7 / 6.1.1.1 / 6.1.4.2 / 6.1.9.2</t>
        </is>
      </c>
      <c r="B36" s="71" t="inlineStr">
        <is>
          <t>VIO controller PCB (pre-flashed)</t>
        </is>
      </c>
      <c r="C36" s="71" t="inlineStr">
        <is>
          <t>Voltify</t>
        </is>
      </c>
      <c r="D36" s="71" t="n">
        <v>4</v>
      </c>
      <c r="E36" s="71" t="n"/>
      <c r="F36" s="71" t="inlineStr">
        <is>
          <t>—</t>
        </is>
      </c>
      <c r="G36" s="121" t="inlineStr">
        <is>
          <t>SPOF-stop</t>
        </is>
      </c>
      <c r="H36" s="71" t="inlineStr">
        <is>
          <t>F37, F51</t>
        </is>
      </c>
      <c r="I36" s="71" t="inlineStr">
        <is>
          <t>Med</t>
        </is>
      </c>
      <c r="J36" s="76" t="n">
        <v>1</v>
      </c>
      <c r="K36" s="76" t="n">
        <v>1</v>
      </c>
      <c r="L36" s="77">
        <f>IF(AND(ISNUMBER(J36),ISNUMBER(K36)),J36+K36,"")</f>
        <v/>
      </c>
      <c r="M36" s="71">
        <f>IF(AND(ISNUMBER(L36),ISNUMBER(E36)),L36-E36,"")</f>
        <v/>
      </c>
      <c r="N36" s="71" t="inlineStr">
        <is>
          <t>4 instances (VMS, panto panel, charger panel, HSCB+REV); custom board.</t>
        </is>
      </c>
      <c r="O36" s="71" t="inlineStr">
        <is>
          <t>All 4 instances pass 30 days; spare boards from build lot</t>
        </is>
      </c>
      <c r="P36" s="71" t="inlineStr">
        <is>
          <t>Micah</t>
        </is>
      </c>
      <c r="Q36" s="71" t="inlineStr">
        <is>
          <t>Open</t>
        </is>
      </c>
    </row>
    <row r="37" ht="23.25" customHeight="1" s="65">
      <c r="A37" s="71" t="inlineStr">
        <is>
          <t>3.2.1</t>
        </is>
      </c>
      <c r="B37" s="71" t="inlineStr">
        <is>
          <t>UPS</t>
        </is>
      </c>
      <c r="C37" s="71" t="inlineStr">
        <is>
          <t>Bicker UPS-IP-3</t>
        </is>
      </c>
      <c r="D37" s="71" t="n">
        <v>1</v>
      </c>
      <c r="E37" s="71" t="n"/>
      <c r="F37" s="71" t="inlineStr">
        <is>
          <t>—</t>
        </is>
      </c>
      <c r="G37" s="124" t="inlineStr">
        <is>
          <t>Degrade</t>
        </is>
      </c>
      <c r="H37" s="71" t="inlineStr">
        <is>
          <t>F48 (logging), graceful shutdown</t>
        </is>
      </c>
      <c r="I37" s="71" t="inlineStr">
        <is>
          <t>Med</t>
        </is>
      </c>
      <c r="J37" s="76" t="n">
        <v>0</v>
      </c>
      <c r="K37" s="76" t="n">
        <v>1</v>
      </c>
      <c r="L37" s="77">
        <f>IF(AND(ISNUMBER(J37),ISNUMBER(K37)),J37+K37,"")</f>
        <v/>
      </c>
      <c r="M37" s="71">
        <f>IF(AND(ISNUMBER(L37),ISNUMBER(E37)),L37-E37,"")</f>
        <v/>
      </c>
      <c r="N37" s="71" t="inlineStr">
        <is>
          <t>Loss risks uncontrolled VMS shutdown and data loss.</t>
        </is>
      </c>
      <c r="O37" s="71" t="inlineStr">
        <is>
          <t>—</t>
        </is>
      </c>
      <c r="P37" s="71" t="inlineStr">
        <is>
          <t>Jared</t>
        </is>
      </c>
      <c r="Q37" s="71" t="inlineStr">
        <is>
          <t>Open</t>
        </is>
      </c>
    </row>
    <row r="38" ht="15" customHeight="1" s="65">
      <c r="A38" s="71" t="inlineStr">
        <is>
          <t>3.2.3</t>
        </is>
      </c>
      <c r="B38" s="71" t="inlineStr">
        <is>
          <t>Touchscreen HMI</t>
        </is>
      </c>
      <c r="C38" s="71" t="inlineStr">
        <is>
          <t>beetronics 12TS7M</t>
        </is>
      </c>
      <c r="D38" s="71" t="n">
        <v>1</v>
      </c>
      <c r="E38" s="71" t="n">
        <v>1</v>
      </c>
      <c r="F38" s="71" t="inlineStr">
        <is>
          <t>—</t>
        </is>
      </c>
      <c r="G38" s="124" t="inlineStr">
        <is>
          <t>Degrade (Class B)</t>
        </is>
      </c>
      <c r="H38" s="71" t="inlineStr">
        <is>
          <t>Fault Classes</t>
        </is>
      </c>
      <c r="I38" s="71" t="inlineStr">
        <is>
          <t>Short</t>
        </is>
      </c>
      <c r="J38" s="76" t="n">
        <v>0</v>
      </c>
      <c r="K38" s="76" t="n">
        <v>1</v>
      </c>
      <c r="L38" s="77">
        <f>IF(AND(ISNUMBER(J38),ISNUMBER(K38)),J38+K38,"")</f>
        <v/>
      </c>
      <c r="M38" s="71">
        <f>IF(AND(ISNUMBER(L38),ISNUMBER(E38)),L38-E38,"")</f>
        <v/>
      </c>
      <c r="N38" s="71" t="inlineStr">
        <is>
          <t>Keep BOM target.</t>
        </is>
      </c>
      <c r="O38" s="71" t="inlineStr">
        <is>
          <t>—</t>
        </is>
      </c>
      <c r="P38" s="71" t="inlineStr">
        <is>
          <t>Jared</t>
        </is>
      </c>
      <c r="Q38" s="71" t="inlineStr">
        <is>
          <t>Open</t>
        </is>
      </c>
    </row>
    <row r="39" ht="23.25" customHeight="1" s="65">
      <c r="A39" s="71" t="inlineStr">
        <is>
          <t>3.2.6</t>
        </is>
      </c>
      <c r="B39" s="71" t="inlineStr">
        <is>
          <t>Ethernet router (LTE/WiFi)</t>
        </is>
      </c>
      <c r="C39" s="71" t="inlineStr">
        <is>
          <t>Teltonika ATRM50</t>
        </is>
      </c>
      <c r="D39" s="71" t="n">
        <v>1</v>
      </c>
      <c r="E39" s="71" t="n">
        <v>1</v>
      </c>
      <c r="F39" s="71" t="inlineStr">
        <is>
          <t>—</t>
        </is>
      </c>
      <c r="G39" s="124" t="inlineStr">
        <is>
          <t>Degrade</t>
        </is>
      </c>
      <c r="H39" s="71" t="inlineStr">
        <is>
          <t>F48, RSK-NEW-19 (data logging)</t>
        </is>
      </c>
      <c r="I39" s="71" t="inlineStr">
        <is>
          <t>Short</t>
        </is>
      </c>
      <c r="J39" s="76" t="n">
        <v>0</v>
      </c>
      <c r="K39" s="76" t="n">
        <v>1</v>
      </c>
      <c r="L39" s="77">
        <f>IF(AND(ISNUMBER(J39),ISNUMBER(K39)),J39+K39,"")</f>
        <v/>
      </c>
      <c r="M39" s="71">
        <f>IF(AND(ISNUMBER(L39),ISNUMBER(E39)),L39-E39,"")</f>
        <v/>
      </c>
      <c r="N39" s="71" t="inlineStr">
        <is>
          <t>Data path and LTE fallback for Starlink.</t>
        </is>
      </c>
      <c r="O39" s="71" t="inlineStr">
        <is>
          <t>Starlink + LTE both proven at JAX</t>
        </is>
      </c>
      <c r="P39" s="71" t="inlineStr">
        <is>
          <t>Matan</t>
        </is>
      </c>
      <c r="Q39" s="71" t="inlineStr">
        <is>
          <t>Open</t>
        </is>
      </c>
    </row>
    <row r="40" ht="15" customHeight="1" s="65">
      <c r="A40" s="71" t="inlineStr">
        <is>
          <t>3.2.6.1</t>
        </is>
      </c>
      <c r="B40" s="71" t="inlineStr">
        <is>
          <t>Cellular roof antenna</t>
        </is>
      </c>
      <c r="C40" s="71" t="inlineStr">
        <is>
          <t>TBD</t>
        </is>
      </c>
      <c r="D40" s="71" t="n">
        <v>1</v>
      </c>
      <c r="E40" s="71" t="n">
        <v>1</v>
      </c>
      <c r="F40" s="71" t="inlineStr">
        <is>
          <t>—</t>
        </is>
      </c>
      <c r="G40" s="124" t="inlineStr">
        <is>
          <t>Degrade</t>
        </is>
      </c>
      <c r="H40" s="71" t="inlineStr">
        <is>
          <t>F48</t>
        </is>
      </c>
      <c r="I40" s="71" t="inlineStr">
        <is>
          <t>Short</t>
        </is>
      </c>
      <c r="J40" s="76" t="n">
        <v>0</v>
      </c>
      <c r="K40" s="76" t="n">
        <v>1</v>
      </c>
      <c r="L40" s="77">
        <f>IF(AND(ISNUMBER(J40),ISNUMBER(K40)),J40+K40,"")</f>
        <v/>
      </c>
      <c r="M40" s="71">
        <f>IF(AND(ISNUMBER(L40),ISNUMBER(E40)),L40-E40,"")</f>
        <v/>
      </c>
      <c r="N40" s="71" t="inlineStr">
        <is>
          <t>Keep BOM target.</t>
        </is>
      </c>
      <c r="O40" s="71" t="inlineStr">
        <is>
          <t>As above</t>
        </is>
      </c>
      <c r="P40" s="71" t="inlineStr">
        <is>
          <t>Matan</t>
        </is>
      </c>
      <c r="Q40" s="71" t="inlineStr">
        <is>
          <t>Open</t>
        </is>
      </c>
    </row>
    <row r="41" ht="15" customHeight="1" s="65">
      <c r="A41" s="71" t="inlineStr">
        <is>
          <t>3.2.6.2</t>
        </is>
      </c>
      <c r="B41" s="71" t="inlineStr">
        <is>
          <t>WiFi roof antenna</t>
        </is>
      </c>
      <c r="C41" s="71" t="inlineStr">
        <is>
          <t>TBD</t>
        </is>
      </c>
      <c r="D41" s="71" t="n">
        <v>1</v>
      </c>
      <c r="E41" s="71" t="n">
        <v>1</v>
      </c>
      <c r="F41" s="71" t="inlineStr">
        <is>
          <t>—</t>
        </is>
      </c>
      <c r="G41" s="125" t="inlineStr">
        <is>
          <t>Low</t>
        </is>
      </c>
      <c r="H41" s="71" t="inlineStr">
        <is>
          <t>—</t>
        </is>
      </c>
      <c r="I41" s="71" t="inlineStr">
        <is>
          <t>Short</t>
        </is>
      </c>
      <c r="J41" s="76" t="n">
        <v>0</v>
      </c>
      <c r="K41" s="76" t="n">
        <v>1</v>
      </c>
      <c r="L41" s="77">
        <f>IF(AND(ISNUMBER(J41),ISNUMBER(K41)),J41+K41,"")</f>
        <v/>
      </c>
      <c r="M41" s="71">
        <f>IF(AND(ISNUMBER(L41),ISNUMBER(E41)),L41-E41,"")</f>
        <v/>
      </c>
      <c r="N41" s="71" t="inlineStr">
        <is>
          <t>Not needed for operation; aligned to BOM target (1).</t>
        </is>
      </c>
      <c r="O41" s="71" t="inlineStr">
        <is>
          <t>—</t>
        </is>
      </c>
      <c r="P41" s="71" t="inlineStr">
        <is>
          <t>Matan</t>
        </is>
      </c>
      <c r="Q41" s="71" t="inlineStr">
        <is>
          <t>Open</t>
        </is>
      </c>
    </row>
    <row r="42" ht="15" customHeight="1" s="65">
      <c r="A42" s="71" t="inlineStr">
        <is>
          <t>3.2.2.2</t>
        </is>
      </c>
      <c r="B42" s="71" t="inlineStr">
        <is>
          <t>VMS power push button</t>
        </is>
      </c>
      <c r="C42" s="71" t="inlineStr">
        <is>
          <t>TBD</t>
        </is>
      </c>
      <c r="D42" s="71" t="n">
        <v>1</v>
      </c>
      <c r="E42" s="71" t="n">
        <v>3</v>
      </c>
      <c r="F42" s="71" t="inlineStr">
        <is>
          <t>—</t>
        </is>
      </c>
      <c r="G42" s="125" t="inlineStr">
        <is>
          <t>Low</t>
        </is>
      </c>
      <c r="H42" s="71" t="inlineStr">
        <is>
          <t>—</t>
        </is>
      </c>
      <c r="I42" s="71" t="inlineStr">
        <is>
          <t>Short</t>
        </is>
      </c>
      <c r="J42" s="76" t="n">
        <v>1</v>
      </c>
      <c r="K42" s="76" t="n">
        <v>2</v>
      </c>
      <c r="L42" s="77">
        <f>IF(AND(ISNUMBER(J42),ISNUMBER(K42)),J42+K42,"")</f>
        <v/>
      </c>
      <c r="M42" s="71">
        <f>IF(AND(ISNUMBER(L42),ISNUMBER(E42)),L42-E42,"")</f>
        <v/>
      </c>
      <c r="N42" s="71" t="inlineStr">
        <is>
          <t>Aligned to BOM target (3).</t>
        </is>
      </c>
      <c r="O42" s="71" t="inlineStr">
        <is>
          <t>—</t>
        </is>
      </c>
      <c r="P42" s="71" t="inlineStr">
        <is>
          <t>Jared</t>
        </is>
      </c>
      <c r="Q42" s="71" t="inlineStr">
        <is>
          <t>Open</t>
        </is>
      </c>
    </row>
    <row r="43" ht="15" customHeight="1" s="65">
      <c r="A43" s="71" t="inlineStr">
        <is>
          <t>3.2.9</t>
        </is>
      </c>
      <c r="B43" s="71" t="inlineStr">
        <is>
          <t>Audio speaker</t>
        </is>
      </c>
      <c r="C43" s="71" t="inlineStr">
        <is>
          <t>TBD</t>
        </is>
      </c>
      <c r="D43" s="71" t="n">
        <v>1</v>
      </c>
      <c r="E43" s="71" t="n">
        <v>1</v>
      </c>
      <c r="F43" s="71" t="inlineStr">
        <is>
          <t>—</t>
        </is>
      </c>
      <c r="G43" s="125" t="inlineStr">
        <is>
          <t>Low</t>
        </is>
      </c>
      <c r="H43" s="71" t="inlineStr">
        <is>
          <t>—</t>
        </is>
      </c>
      <c r="I43" s="71" t="inlineStr">
        <is>
          <t>Short</t>
        </is>
      </c>
      <c r="J43" s="76" t="n">
        <v>0</v>
      </c>
      <c r="K43" s="76" t="n">
        <v>1</v>
      </c>
      <c r="L43" s="77">
        <f>IF(AND(ISNUMBER(J43),ISNUMBER(K43)),J43+K43,"")</f>
        <v/>
      </c>
      <c r="M43" s="71">
        <f>IF(AND(ISNUMBER(L43),ISNUMBER(E43)),L43-E43,"")</f>
        <v/>
      </c>
      <c r="N43" s="71" t="inlineStr">
        <is>
          <t>Not needed for operation; aligned to BOM target (1).</t>
        </is>
      </c>
      <c r="O43" s="71" t="inlineStr">
        <is>
          <t>—</t>
        </is>
      </c>
      <c r="P43" s="71" t="inlineStr">
        <is>
          <t>Jared</t>
        </is>
      </c>
      <c r="Q43" s="71" t="inlineStr">
        <is>
          <t>Open</t>
        </is>
      </c>
    </row>
    <row r="44" ht="15" customHeight="1" s="65">
      <c r="A44" s="71" t="inlineStr">
        <is>
          <t>3.2.8 / 4.5 / 6.7</t>
        </is>
      </c>
      <c r="B44" s="71" t="inlineStr">
        <is>
          <t>Maintenance key + yellow door-lock key</t>
        </is>
      </c>
      <c r="C44" s="71" t="inlineStr">
        <is>
          <t>Secheron</t>
        </is>
      </c>
      <c r="D44" s="71" t="n">
        <v>1</v>
      </c>
      <c r="E44" s="71" t="n"/>
      <c r="F44" s="71" t="inlineStr">
        <is>
          <t>—</t>
        </is>
      </c>
      <c r="G44" s="121" t="inlineStr">
        <is>
          <t>Safety (LOTO)</t>
        </is>
      </c>
      <c r="H44" s="71" t="inlineStr">
        <is>
          <t>Grounding switch / LOTO</t>
        </is>
      </c>
      <c r="I44" s="71" t="inlineStr">
        <is>
          <t>Med</t>
        </is>
      </c>
      <c r="J44" s="76" t="n">
        <v>1</v>
      </c>
      <c r="K44" s="76" t="n">
        <v>0</v>
      </c>
      <c r="L44" s="77">
        <f>IF(AND(ISNUMBER(J44),ISNUMBER(K44)),J44+K44,"")</f>
        <v/>
      </c>
      <c r="M44" s="71">
        <f>IF(AND(ISNUMBER(L44),ISNUMBER(E44)),L44-E44,"")</f>
        <v/>
      </c>
      <c r="N44" s="71" t="inlineStr">
        <is>
          <t>A lost key blocks maintenance access.</t>
        </is>
      </c>
      <c r="O44" s="71" t="inlineStr">
        <is>
          <t>—</t>
        </is>
      </c>
      <c r="P44" s="71" t="inlineStr">
        <is>
          <t>Dragan</t>
        </is>
      </c>
      <c r="Q44" s="71" t="inlineStr">
        <is>
          <t>Open</t>
        </is>
      </c>
    </row>
    <row r="45" ht="15" customHeight="1" s="65">
      <c r="A45" s="71" t="inlineStr">
        <is>
          <t>6.4.3</t>
        </is>
      </c>
      <c r="B45" s="71" t="inlineStr">
        <is>
          <t>RVT (residual voltage tester) PCB</t>
        </is>
      </c>
      <c r="C45" s="71" t="inlineStr">
        <is>
          <t>Voltify</t>
        </is>
      </c>
      <c r="D45" s="71" t="n">
        <v>1</v>
      </c>
      <c r="E45" s="71" t="n"/>
      <c r="F45" s="71" t="inlineStr">
        <is>
          <t>—</t>
        </is>
      </c>
      <c r="G45" s="121" t="inlineStr">
        <is>
          <t>Safety</t>
        </is>
      </c>
      <c r="H45" s="71" t="inlineStr">
        <is>
          <t>F16</t>
        </is>
      </c>
      <c r="I45" s="71" t="inlineStr">
        <is>
          <t>Med</t>
        </is>
      </c>
      <c r="J45" s="76" t="n">
        <v>1</v>
      </c>
      <c r="K45" s="76" t="n">
        <v>0</v>
      </c>
      <c r="L45" s="77">
        <f>IF(AND(ISNUMBER(J45),ISNUMBER(K45)),J45+K45,"")</f>
        <v/>
      </c>
      <c r="M45" s="71">
        <f>IF(AND(ISNUMBER(L45),ISNUMBER(E45)),L45-E45,"")</f>
        <v/>
      </c>
      <c r="N45" s="71" t="inlineStr">
        <is>
          <t>Grounding-switch interlock depends on it.</t>
        </is>
      </c>
      <c r="O45" s="71" t="inlineStr">
        <is>
          <t>RVT interlock verified (H-22)</t>
        </is>
      </c>
      <c r="P45" s="71" t="inlineStr">
        <is>
          <t>Micah</t>
        </is>
      </c>
      <c r="Q45" s="71" t="inlineStr">
        <is>
          <t>Open</t>
        </is>
      </c>
    </row>
    <row r="46" ht="23.25" customHeight="1" s="65">
      <c r="A46" s="71" t="inlineStr">
        <is>
          <t>5.3.2</t>
        </is>
      </c>
      <c r="B46" s="71" t="inlineStr">
        <is>
          <t>BCU (2nd-level BMS)</t>
        </is>
      </c>
      <c r="C46" s="71" t="inlineStr">
        <is>
          <t>Jinko/BMS</t>
        </is>
      </c>
      <c r="D46" s="71" t="n">
        <v>12</v>
      </c>
      <c r="E46" s="71" t="n"/>
      <c r="F46" s="71" t="inlineStr">
        <is>
          <t>—</t>
        </is>
      </c>
      <c r="G46" s="71" t="inlineStr">
        <is>
          <t>SPOF-degrade</t>
        </is>
      </c>
      <c r="H46" s="71" t="inlineStr">
        <is>
          <t>F46 (BMS comm loss = Class A)</t>
        </is>
      </c>
      <c r="I46" s="71" t="inlineStr">
        <is>
          <t>Long</t>
        </is>
      </c>
      <c r="J46" s="76" t="n">
        <v>1</v>
      </c>
      <c r="K46" s="76" t="n">
        <v>1</v>
      </c>
      <c r="L46" s="77">
        <f>IF(AND(ISNUMBER(J46),ISNUMBER(K46)),J46+K46,"")</f>
        <v/>
      </c>
      <c r="M46" s="71">
        <f>IF(AND(ISNUMBER(L46),ISNUMBER(E46)),L46-E46,"")</f>
        <v/>
      </c>
      <c r="N46" s="71" t="inlineStr">
        <is>
          <t>BCU loss isolates its string; swap restores capacity.</t>
        </is>
      </c>
      <c r="O46" s="71" t="inlineStr">
        <is>
          <t>Strings stable 30 days</t>
        </is>
      </c>
      <c r="P46" s="71" t="inlineStr">
        <is>
          <t>Micah</t>
        </is>
      </c>
      <c r="Q46" s="71" t="inlineStr">
        <is>
          <t>Open</t>
        </is>
      </c>
    </row>
    <row r="47" ht="15" customHeight="1" s="65">
      <c r="A47" s="71" t="inlineStr">
        <is>
          <t>5.3.3</t>
        </is>
      </c>
      <c r="B47" s="71" t="inlineStr">
        <is>
          <t>Combiner fuse</t>
        </is>
      </c>
      <c r="C47" s="71" t="inlineStr">
        <is>
          <t>TBD</t>
        </is>
      </c>
      <c r="D47" s="71" t="n">
        <v>12</v>
      </c>
      <c r="E47" s="71" t="n"/>
      <c r="F47" s="71" t="inlineStr">
        <is>
          <t>—</t>
        </is>
      </c>
      <c r="G47" s="122" t="inlineStr">
        <is>
          <t>Bring-up</t>
        </is>
      </c>
      <c r="H47" s="71" t="inlineStr">
        <is>
          <t>F04</t>
        </is>
      </c>
      <c r="I47" s="71" t="inlineStr">
        <is>
          <t>Med</t>
        </is>
      </c>
      <c r="J47" s="76" t="n">
        <v>2</v>
      </c>
      <c r="K47" s="76" t="n">
        <v>0</v>
      </c>
      <c r="L47" s="77">
        <f>IF(AND(ISNUMBER(J47),ISNUMBER(K47)),J47+K47,"")</f>
        <v/>
      </c>
      <c r="M47" s="71">
        <f>IF(AND(ISNUMBER(L47),ISNUMBER(E47)),L47-E47,"")</f>
        <v/>
      </c>
      <c r="N47" s="71" t="inlineStr">
        <is>
          <t>String combining at first energization.</t>
        </is>
      </c>
      <c r="O47" s="71" t="inlineStr">
        <is>
          <t>All strings online (H-05)</t>
        </is>
      </c>
      <c r="P47" s="71" t="inlineStr">
        <is>
          <t>Bryan</t>
        </is>
      </c>
      <c r="Q47" s="71" t="inlineStr">
        <is>
          <t>Open</t>
        </is>
      </c>
    </row>
    <row r="48" ht="15" customHeight="1" s="65">
      <c r="A48" s="71" t="inlineStr">
        <is>
          <t>5.3.6</t>
        </is>
      </c>
      <c r="B48" s="71" t="inlineStr">
        <is>
          <t>Combiner current sensor</t>
        </is>
      </c>
      <c r="C48" s="71" t="inlineStr">
        <is>
          <t>TBD</t>
        </is>
      </c>
      <c r="D48" s="71" t="n">
        <v>12</v>
      </c>
      <c r="E48" s="71" t="n"/>
      <c r="F48" s="71" t="inlineStr">
        <is>
          <t>—</t>
        </is>
      </c>
      <c r="G48" s="124" t="inlineStr">
        <is>
          <t>Degrade</t>
        </is>
      </c>
      <c r="H48" s="71" t="inlineStr">
        <is>
          <t>F04</t>
        </is>
      </c>
      <c r="I48" s="71" t="inlineStr">
        <is>
          <t>Med</t>
        </is>
      </c>
      <c r="J48" s="76" t="n">
        <v>1</v>
      </c>
      <c r="K48" s="76" t="n">
        <v>0</v>
      </c>
      <c r="L48" s="77">
        <f>IF(AND(ISNUMBER(J48),ISNUMBER(K48)),J48+K48,"")</f>
        <v/>
      </c>
      <c r="M48" s="71">
        <f>IF(AND(ISNUMBER(L48),ISNUMBER(E48)),L48-E48,"")</f>
        <v/>
      </c>
      <c r="N48" s="71" t="inlineStr">
        <is>
          <t>Bad reading can trip a string.</t>
        </is>
      </c>
      <c r="O48" s="71" t="inlineStr">
        <is>
          <t>—</t>
        </is>
      </c>
      <c r="P48" s="71" t="inlineStr">
        <is>
          <t>Micah</t>
        </is>
      </c>
      <c r="Q48" s="71" t="inlineStr">
        <is>
          <t>Open</t>
        </is>
      </c>
    </row>
    <row r="49" ht="15" customHeight="1" s="65">
      <c r="A49" s="71" t="inlineStr">
        <is>
          <t>5.3.7</t>
        </is>
      </c>
      <c r="B49" s="71" t="inlineStr">
        <is>
          <t>Combiner power distro PCB</t>
        </is>
      </c>
      <c r="C49" s="71" t="inlineStr">
        <is>
          <t>Voltify</t>
        </is>
      </c>
      <c r="D49" s="71" t="n">
        <v>6</v>
      </c>
      <c r="E49" s="71" t="n"/>
      <c r="F49" s="71" t="inlineStr">
        <is>
          <t>—</t>
        </is>
      </c>
      <c r="G49" s="71" t="inlineStr">
        <is>
          <t>SPOF-degrade</t>
        </is>
      </c>
      <c r="H49" s="71" t="inlineStr">
        <is>
          <t>F04</t>
        </is>
      </c>
      <c r="I49" s="71" t="inlineStr">
        <is>
          <t>Med</t>
        </is>
      </c>
      <c r="J49" s="76" t="n">
        <v>1</v>
      </c>
      <c r="K49" s="76" t="n">
        <v>0</v>
      </c>
      <c r="L49" s="77">
        <f>IF(AND(ISNUMBER(J49),ISNUMBER(K49)),J49+K49,"")</f>
        <v/>
      </c>
      <c r="M49" s="71">
        <f>IF(AND(ISNUMBER(L49),ISNUMBER(E49)),L49-E49,"")</f>
        <v/>
      </c>
      <c r="N49" s="71" t="inlineStr">
        <is>
          <t>Custom board.</t>
        </is>
      </c>
      <c r="O49" s="71" t="inlineStr">
        <is>
          <t>—</t>
        </is>
      </c>
      <c r="P49" s="71" t="inlineStr">
        <is>
          <t>Micah</t>
        </is>
      </c>
      <c r="Q49" s="71" t="inlineStr">
        <is>
          <t>Open</t>
        </is>
      </c>
    </row>
    <row r="50" ht="15" customHeight="1" s="65">
      <c r="A50" s="71" t="inlineStr">
        <is>
          <t>5.5</t>
        </is>
      </c>
      <c r="B50" s="71" t="inlineStr">
        <is>
          <t>TRB Ethernet switch</t>
        </is>
      </c>
      <c r="C50" s="71" t="inlineStr">
        <is>
          <t>TBD</t>
        </is>
      </c>
      <c r="D50" s="71" t="n">
        <v>2</v>
      </c>
      <c r="E50" s="71" t="n"/>
      <c r="F50" s="71" t="inlineStr">
        <is>
          <t>—</t>
        </is>
      </c>
      <c r="G50" s="71" t="inlineStr">
        <is>
          <t>SPOF-degrade</t>
        </is>
      </c>
      <c r="H50" s="71" t="inlineStr">
        <is>
          <t>F46</t>
        </is>
      </c>
      <c r="I50" s="71" t="inlineStr">
        <is>
          <t>Short</t>
        </is>
      </c>
      <c r="J50" s="76" t="n">
        <v>1</v>
      </c>
      <c r="K50" s="76" t="n">
        <v>0</v>
      </c>
      <c r="L50" s="77">
        <f>IF(AND(ISNUMBER(J50),ISNUMBER(K50)),J50+K50,"")</f>
        <v/>
      </c>
      <c r="M50" s="71">
        <f>IF(AND(ISNUMBER(L50),ISNUMBER(E50)),L50-E50,"")</f>
        <v/>
      </c>
      <c r="N50" s="71" t="inlineStr">
        <is>
          <t>Loss = BCU comms on that side.</t>
        </is>
      </c>
      <c r="O50" s="71" t="inlineStr">
        <is>
          <t>—</t>
        </is>
      </c>
      <c r="P50" s="71" t="inlineStr">
        <is>
          <t>Jared</t>
        </is>
      </c>
      <c r="Q50" s="71" t="inlineStr">
        <is>
          <t>Open</t>
        </is>
      </c>
    </row>
    <row r="51" ht="23.25" customHeight="1" s="65">
      <c r="A51" s="71" t="inlineStr">
        <is>
          <t>5.2</t>
        </is>
      </c>
      <c r="B51" s="71" t="inlineStr">
        <is>
          <t>Battery pack module</t>
        </is>
      </c>
      <c r="C51" s="71" t="inlineStr">
        <is>
          <t>Jinko</t>
        </is>
      </c>
      <c r="D51" s="71" t="n">
        <v>48</v>
      </c>
      <c r="E51" s="71" t="n"/>
      <c r="F51" s="71" t="inlineStr">
        <is>
          <t>—</t>
        </is>
      </c>
      <c r="G51" s="124" t="inlineStr">
        <is>
          <t>Degrade (string isolation)</t>
        </is>
      </c>
      <c r="H51" s="71" t="inlineStr">
        <is>
          <t>Fault sweep STRING_OPEN/RACK_OPEN</t>
        </is>
      </c>
      <c r="I51" s="71" t="inlineStr">
        <is>
          <t>Long</t>
        </is>
      </c>
      <c r="J51" s="76" t="n">
        <v>0</v>
      </c>
      <c r="K51" s="76" t="n">
        <v>0</v>
      </c>
      <c r="L51" s="77">
        <f>IF(AND(ISNUMBER(J51),ISNUMBER(K51)),J51+K51,"")</f>
        <v/>
      </c>
      <c r="M51" s="71">
        <f>IF(AND(ISNUMBER(L51),ISNUMBER(E51)),L51-E51,"")</f>
        <v/>
      </c>
      <c r="N51" s="71" t="inlineStr">
        <is>
          <t>10-11 strings still run the demo (fault sweep). Revisit for CSX 90-day.</t>
        </is>
      </c>
      <c r="O51" s="71" t="inlineStr">
        <is>
          <t>—</t>
        </is>
      </c>
      <c r="P51" s="71" t="inlineStr">
        <is>
          <t>Micah</t>
        </is>
      </c>
      <c r="Q51" s="71" t="inlineStr">
        <is>
          <t>Open</t>
        </is>
      </c>
    </row>
    <row r="52" ht="23.25" customHeight="1" s="65">
      <c r="A52" s="71" t="inlineStr">
        <is>
          <t>6.1.6.1</t>
        </is>
      </c>
      <c r="B52" s="71" t="inlineStr">
        <is>
          <t>ITI-AUX controller (onboard charger)</t>
        </is>
      </c>
      <c r="C52" s="71" t="inlineStr">
        <is>
          <t>Integral</t>
        </is>
      </c>
      <c r="D52" s="71" t="n">
        <v>1</v>
      </c>
      <c r="E52" s="71" t="n">
        <v>1</v>
      </c>
      <c r="F52" s="71" t="inlineStr">
        <is>
          <t>—</t>
        </is>
      </c>
      <c r="G52" s="121" t="inlineStr">
        <is>
          <t>SPOF-stop (charging)</t>
        </is>
      </c>
      <c r="H52" s="71" t="inlineStr">
        <is>
          <t>F12; critical path</t>
        </is>
      </c>
      <c r="I52" s="71" t="inlineStr">
        <is>
          <t>Long</t>
        </is>
      </c>
      <c r="J52" s="76" t="n">
        <v>0</v>
      </c>
      <c r="K52" s="76" t="n">
        <v>1</v>
      </c>
      <c r="L52" s="77">
        <f>IF(AND(ISNUMBER(J52),ISNUMBER(K52)),J52+K52,"")</f>
        <v/>
      </c>
      <c r="M52" s="71">
        <f>IF(AND(ISNUMBER(L52),ISNUMBER(E52)),L52-E52,"")</f>
        <v/>
      </c>
      <c r="N52" s="71" t="inlineStr">
        <is>
          <t>Keep BOM target. Full ITV spare not recommended (cost); Integral support instead.</t>
        </is>
      </c>
      <c r="O52" s="71" t="inlineStr">
        <is>
          <t>Charging passes J-09 and 30 days</t>
        </is>
      </c>
      <c r="P52" s="71" t="inlineStr">
        <is>
          <t>Jonathan + Integral</t>
        </is>
      </c>
      <c r="Q52" s="71" t="inlineStr">
        <is>
          <t>Open</t>
        </is>
      </c>
    </row>
    <row r="53" ht="15" customHeight="1" s="65">
      <c r="A53" s="71" t="inlineStr">
        <is>
          <t>8.6.2</t>
        </is>
      </c>
      <c r="B53" s="71" t="inlineStr">
        <is>
          <t>Pantograph controller PCB (pre-flashed)</t>
        </is>
      </c>
      <c r="C53" s="71" t="inlineStr">
        <is>
          <t>Voltify</t>
        </is>
      </c>
      <c r="D53" s="71" t="n">
        <v>1</v>
      </c>
      <c r="E53" s="71" t="n"/>
      <c r="F53" s="71" t="inlineStr">
        <is>
          <t>—</t>
        </is>
      </c>
      <c r="G53" s="121" t="inlineStr">
        <is>
          <t>SPOF-stop (charging)</t>
        </is>
      </c>
      <c r="H53" s="71" t="inlineStr">
        <is>
          <t>F09, F12</t>
        </is>
      </c>
      <c r="I53" s="71" t="inlineStr">
        <is>
          <t>Med</t>
        </is>
      </c>
      <c r="J53" s="76" t="n">
        <v>0</v>
      </c>
      <c r="K53" s="76" t="n">
        <v>1</v>
      </c>
      <c r="L53" s="77">
        <f>IF(AND(ISNUMBER(J53),ISNUMBER(K53)),J53+K53,"")</f>
        <v/>
      </c>
      <c r="M53" s="71">
        <f>IF(AND(ISNUMBER(L53),ISNUMBER(E53)),L53-E53,"")</f>
        <v/>
      </c>
      <c r="N53" s="71" t="inlineStr">
        <is>
          <t>Dynamic charging is a showcase function; custom board.</t>
        </is>
      </c>
      <c r="O53" s="71" t="inlineStr">
        <is>
          <t>Dynamic charging 30 days clean</t>
        </is>
      </c>
      <c r="P53" s="71" t="inlineStr">
        <is>
          <t>Micah</t>
        </is>
      </c>
      <c r="Q53" s="71" t="inlineStr">
        <is>
          <t>Open</t>
        </is>
      </c>
    </row>
    <row r="54" ht="23.25" customHeight="1" s="65">
      <c r="A54" s="71" t="inlineStr">
        <is>
          <t>8.2.2</t>
        </is>
      </c>
      <c r="B54" s="71" t="inlineStr">
        <is>
          <t>Pantograph current collector (carbon strip)</t>
        </is>
      </c>
      <c r="C54" s="71" t="inlineStr">
        <is>
          <t>Morgan MY258A4</t>
        </is>
      </c>
      <c r="D54" s="71" t="n">
        <v>8</v>
      </c>
      <c r="E54" s="71" t="n">
        <v>16</v>
      </c>
      <c r="F54" s="71" t="inlineStr">
        <is>
          <t>—</t>
        </is>
      </c>
      <c r="G54" s="123" t="inlineStr">
        <is>
          <t>Wear</t>
        </is>
      </c>
      <c r="H54" s="71" t="inlineStr">
        <is>
          <t>Pantograph contact (80-100 N)</t>
        </is>
      </c>
      <c r="I54" s="71" t="inlineStr">
        <is>
          <t>Med</t>
        </is>
      </c>
      <c r="J54" s="76" t="n">
        <v>0</v>
      </c>
      <c r="K54" s="76" t="n">
        <v>16</v>
      </c>
      <c r="L54" s="77">
        <f>IF(AND(ISNUMBER(J54),ISNUMBER(K54)),J54+K54,"")</f>
        <v/>
      </c>
      <c r="M54" s="71">
        <f>IF(AND(ISNUMBER(L54),ISNUMBER(E54)),L54-E54,"")</f>
        <v/>
      </c>
      <c r="N54" s="71" t="inlineStr">
        <is>
          <t>Two full sets; wear rate on the rigid OCS is unknown. Aligned to BOM target (16).</t>
        </is>
      </c>
      <c r="O54" s="71" t="inlineStr">
        <is>
          <t>Measured wear rate shows &gt; 3 months life</t>
        </is>
      </c>
      <c r="P54" s="71" t="inlineStr">
        <is>
          <t>Jonathan</t>
        </is>
      </c>
      <c r="Q54" s="71" t="inlineStr">
        <is>
          <t>Open</t>
        </is>
      </c>
    </row>
    <row r="55" ht="15" customHeight="1" s="65">
      <c r="A55" s="71" t="inlineStr">
        <is>
          <t>8.3</t>
        </is>
      </c>
      <c r="B55" s="71" t="inlineStr">
        <is>
          <t>Surge arrester (pantograph)</t>
        </is>
      </c>
      <c r="C55" s="71" t="inlineStr">
        <is>
          <t>Secheron</t>
        </is>
      </c>
      <c r="D55" s="71" t="n">
        <v>4</v>
      </c>
      <c r="E55" s="71" t="n"/>
      <c r="F55" s="71" t="inlineStr">
        <is>
          <t>—</t>
        </is>
      </c>
      <c r="G55" s="124" t="inlineStr">
        <is>
          <t>Degrade</t>
        </is>
      </c>
      <c r="H55" s="71" t="inlineStr">
        <is>
          <t>—</t>
        </is>
      </c>
      <c r="I55" s="71" t="inlineStr">
        <is>
          <t>Med</t>
        </is>
      </c>
      <c r="J55" s="76" t="n">
        <v>0</v>
      </c>
      <c r="K55" s="76" t="n">
        <v>1</v>
      </c>
      <c r="L55" s="77">
        <f>IF(AND(ISNUMBER(J55),ISNUMBER(K55)),J55+K55,"")</f>
        <v/>
      </c>
      <c r="M55" s="71">
        <f>IF(AND(ISNUMBER(L55),ISNUMBER(E55)),L55-E55,"")</f>
        <v/>
      </c>
      <c r="N55" s="71" t="inlineStr">
        <is>
          <t>Lightning/switching surge on roof.</t>
        </is>
      </c>
      <c r="O55" s="71" t="inlineStr">
        <is>
          <t>—</t>
        </is>
      </c>
      <c r="P55" s="71" t="inlineStr">
        <is>
          <t>Jonathan</t>
        </is>
      </c>
      <c r="Q55" s="71" t="inlineStr">
        <is>
          <t>Open</t>
        </is>
      </c>
    </row>
    <row r="56" ht="15" customHeight="1" s="65">
      <c r="A56" s="71" t="inlineStr">
        <is>
          <t>8.4</t>
        </is>
      </c>
      <c r="B56" s="71" t="inlineStr">
        <is>
          <t>Pantograph current sensor</t>
        </is>
      </c>
      <c r="C56" s="71" t="inlineStr">
        <is>
          <t>LEM HAX 1000-S</t>
        </is>
      </c>
      <c r="D56" s="71" t="n">
        <v>4</v>
      </c>
      <c r="E56" s="71" t="n"/>
      <c r="F56" s="71" t="inlineStr">
        <is>
          <t>—</t>
        </is>
      </c>
      <c r="G56" s="124" t="inlineStr">
        <is>
          <t>Degrade</t>
        </is>
      </c>
      <c r="H56" s="71" t="inlineStr">
        <is>
          <t>—</t>
        </is>
      </c>
      <c r="I56" s="71" t="inlineStr">
        <is>
          <t>Med</t>
        </is>
      </c>
      <c r="J56" s="76" t="n">
        <v>0</v>
      </c>
      <c r="K56" s="76" t="n">
        <v>1</v>
      </c>
      <c r="L56" s="77">
        <f>IF(AND(ISNUMBER(J56),ISNUMBER(K56)),J56+K56,"")</f>
        <v/>
      </c>
      <c r="M56" s="71">
        <f>IF(AND(ISNUMBER(L56),ISNUMBER(E56)),L56-E56,"")</f>
        <v/>
      </c>
      <c r="N56" s="71" t="inlineStr">
        <is>
          <t>Per-head current measurement.</t>
        </is>
      </c>
      <c r="O56" s="71" t="inlineStr">
        <is>
          <t>—</t>
        </is>
      </c>
      <c r="P56" s="71" t="inlineStr">
        <is>
          <t>Micah</t>
        </is>
      </c>
      <c r="Q56" s="71" t="inlineStr">
        <is>
          <t>Open</t>
        </is>
      </c>
    </row>
    <row r="57" ht="15" customHeight="1" s="65">
      <c r="A57" s="71" t="inlineStr">
        <is>
          <t>8.2.1</t>
        </is>
      </c>
      <c r="B57" s="71" t="inlineStr">
        <is>
          <t>Pantograph body</t>
        </is>
      </c>
      <c r="C57" s="71" t="inlineStr">
        <is>
          <t>Secheron SPL26</t>
        </is>
      </c>
      <c r="D57" s="71" t="n">
        <v>4</v>
      </c>
      <c r="E57" s="71" t="n"/>
      <c r="F57" s="71" t="inlineStr">
        <is>
          <t>—</t>
        </is>
      </c>
      <c r="G57" s="124" t="inlineStr">
        <is>
          <t>Degrade (redundant)</t>
        </is>
      </c>
      <c r="H57" s="71" t="inlineStr">
        <is>
          <t>—</t>
        </is>
      </c>
      <c r="I57" s="71" t="inlineStr">
        <is>
          <t>Long</t>
        </is>
      </c>
      <c r="J57" s="76" t="n">
        <v>0</v>
      </c>
      <c r="K57" s="76" t="n">
        <v>0</v>
      </c>
      <c r="L57" s="77">
        <f>IF(AND(ISNUMBER(J57),ISNUMBER(K57)),J57+K57,"")</f>
        <v/>
      </c>
      <c r="M57" s="71">
        <f>IF(AND(ISNUMBER(L57),ISNUMBER(E57)),L57-E57,"")</f>
        <v/>
      </c>
      <c r="N57" s="71" t="inlineStr">
        <is>
          <t>Only 2 heads needed per leg; 4 fitted gives redundancy.</t>
        </is>
      </c>
      <c r="O57" s="71" t="inlineStr">
        <is>
          <t>—</t>
        </is>
      </c>
      <c r="P57" s="71" t="inlineStr">
        <is>
          <t>Jonathan</t>
        </is>
      </c>
      <c r="Q57" s="71" t="inlineStr">
        <is>
          <t>Open</t>
        </is>
      </c>
    </row>
    <row r="58" ht="23.25" customHeight="1" s="65">
      <c r="A58" s="71" t="inlineStr">
        <is>
          <t>7.2.11 / 7.3.6</t>
        </is>
      </c>
      <c r="B58" s="71" t="inlineStr">
        <is>
          <t>SPAL high-capacity coolant pump</t>
        </is>
      </c>
      <c r="C58" s="71" t="inlineStr">
        <is>
          <t>SPAL 30207006A</t>
        </is>
      </c>
      <c r="D58" s="71" t="n">
        <v>6</v>
      </c>
      <c r="E58" s="71" t="n"/>
      <c r="F58" s="71" t="inlineStr">
        <is>
          <t>—</t>
        </is>
      </c>
      <c r="G58" s="121" t="inlineStr">
        <is>
          <t>SPOF-stop (fast)</t>
        </is>
      </c>
      <c r="H58" s="71" t="inlineStr">
        <is>
          <t>F61, PE_PUMP_FAIL; RSK-NEW-30</t>
        </is>
      </c>
      <c r="I58" s="71" t="inlineStr">
        <is>
          <t>Med</t>
        </is>
      </c>
      <c r="J58" s="76" t="n">
        <v>1</v>
      </c>
      <c r="K58" s="76" t="n">
        <v>2</v>
      </c>
      <c r="L58" s="77">
        <f>IF(AND(ISNUMBER(J58),ISNUMBER(K58)),J58+K58,"")</f>
        <v/>
      </c>
      <c r="M58" s="71">
        <f>IF(AND(ISNUMBER(L58),ISNUMBER(E58)),L58-E58,"")</f>
        <v/>
      </c>
      <c r="N58" s="71" t="inlineStr">
        <is>
          <t>PE pump loss is the most severe fault (choppers &gt; 63 C at once); common P/N with battery pumps.</t>
        </is>
      </c>
      <c r="O58" s="71" t="inlineStr">
        <is>
          <t>Flow-loss trip in place (H-34) and pumps run 30 days</t>
        </is>
      </c>
      <c r="P58" s="71" t="inlineStr">
        <is>
          <t>VJ</t>
        </is>
      </c>
      <c r="Q58" s="71" t="inlineStr">
        <is>
          <t>Open</t>
        </is>
      </c>
    </row>
    <row r="59" ht="23.25" customHeight="1" s="65">
      <c r="A59" s="71" t="inlineStr">
        <is>
          <t>7.2.2.3 / 7.3.2.3</t>
        </is>
      </c>
      <c r="B59" s="71" t="inlineStr">
        <is>
          <t>SPAL 12 V radiator fan</t>
        </is>
      </c>
      <c r="C59" s="71" t="inlineStr">
        <is>
          <t>SPAL VA117-ABL506P</t>
        </is>
      </c>
      <c r="D59" s="71" t="n">
        <v>6</v>
      </c>
      <c r="E59" s="71" t="n"/>
      <c r="F59" s="71" t="inlineStr">
        <is>
          <t>—</t>
        </is>
      </c>
      <c r="G59" s="71" t="inlineStr">
        <is>
          <t>SPOF-degrade (fast on hot days)</t>
        </is>
      </c>
      <c r="H59" s="71" t="inlineStr">
        <is>
          <t>F59; RSK-NEW-29</t>
        </is>
      </c>
      <c r="I59" s="71" t="inlineStr">
        <is>
          <t>Short</t>
        </is>
      </c>
      <c r="J59" s="76" t="n">
        <v>1</v>
      </c>
      <c r="K59" s="76" t="n">
        <v>1</v>
      </c>
      <c r="L59" s="77">
        <f>IF(AND(ISNUMBER(J59),ISNUMBER(K59)),J59+K59,"")</f>
        <v/>
      </c>
      <c r="M59" s="71">
        <f>IF(AND(ISNUMBER(L59),ISNUMBER(E59)),L59-E59,"")</f>
        <v/>
      </c>
      <c r="N59" s="71" t="inlineStr">
        <is>
          <t>PE fan loss fails at 40 C in 9-12 min (fault sweep).</t>
        </is>
      </c>
      <c r="O59" s="71" t="inlineStr">
        <is>
          <t>Fan status feedback + derate implemented</t>
        </is>
      </c>
      <c r="P59" s="71" t="inlineStr">
        <is>
          <t>VJ</t>
        </is>
      </c>
      <c r="Q59" s="71" t="inlineStr">
        <is>
          <t>Open</t>
        </is>
      </c>
    </row>
    <row r="60" ht="23.25" customHeight="1" s="65">
      <c r="A60" s="71" t="inlineStr">
        <is>
          <t>7.2.3 / 7.3.3</t>
        </is>
      </c>
      <c r="B60" s="71" t="inlineStr">
        <is>
          <t>EMP HV radiator + fan assembly (750 V)</t>
        </is>
      </c>
      <c r="C60" s="71" t="inlineStr">
        <is>
          <t>EMP 2029352000</t>
        </is>
      </c>
      <c r="D60" s="71" t="n">
        <v>2</v>
      </c>
      <c r="E60" s="71" t="n"/>
      <c r="F60" s="71" t="inlineStr">
        <is>
          <t>—</t>
        </is>
      </c>
      <c r="G60" s="71" t="inlineStr">
        <is>
          <t>SPOF-degrade (fast on hot days)</t>
        </is>
      </c>
      <c r="H60" s="71" t="inlineStr">
        <is>
          <t>F54, F59; RSK-NEW-35</t>
        </is>
      </c>
      <c r="I60" s="71" t="inlineStr">
        <is>
          <t>Long</t>
        </is>
      </c>
      <c r="J60" s="76" t="n">
        <v>0</v>
      </c>
      <c r="K60" s="76" t="n">
        <v>1</v>
      </c>
      <c r="L60" s="77">
        <f>IF(AND(ISNUMBER(J60),ISNUMBER(K60)),J60+K60,"")</f>
        <v/>
      </c>
      <c r="M60" s="71">
        <f>IF(AND(ISNUMBER(L60),ISNUMBER(E60)),L60-E60,"")</f>
        <v/>
      </c>
      <c r="N60" s="71" t="inlineStr">
        <is>
          <t>Matches Jonathan's plan (one JAX LRU, one Cerritos bench spare not counted here).</t>
        </is>
      </c>
      <c r="O60" s="71" t="inlineStr">
        <is>
          <t>30 days at JAX with no fan fault</t>
        </is>
      </c>
      <c r="P60" s="71" t="inlineStr">
        <is>
          <t>VJ</t>
        </is>
      </c>
      <c r="Q60" s="71" t="inlineStr">
        <is>
          <t>Open</t>
        </is>
      </c>
    </row>
    <row r="61" ht="23.25" customHeight="1" s="65">
      <c r="A61" s="71" t="inlineStr">
        <is>
          <t>7.2.5 / 7.3.5 / 7.2.4 / 7.3.4</t>
        </is>
      </c>
      <c r="B61" s="71" t="inlineStr">
        <is>
          <t>Coolant / ambient temperature sensor</t>
        </is>
      </c>
      <c r="C61" s="71" t="inlineStr">
        <is>
          <t>TBD</t>
        </is>
      </c>
      <c r="D61" s="71" t="n">
        <v>6</v>
      </c>
      <c r="E61" s="71" t="n"/>
      <c r="F61" s="71" t="inlineStr">
        <is>
          <t>—</t>
        </is>
      </c>
      <c r="G61" s="124" t="inlineStr">
        <is>
          <t>Degrade</t>
        </is>
      </c>
      <c r="H61" s="71" t="inlineStr">
        <is>
          <t>F63 (sensor bias)</t>
        </is>
      </c>
      <c r="I61" s="71" t="inlineStr">
        <is>
          <t>Short</t>
        </is>
      </c>
      <c r="J61" s="76" t="n">
        <v>1</v>
      </c>
      <c r="K61" s="76" t="n">
        <v>1</v>
      </c>
      <c r="L61" s="77">
        <f>IF(AND(ISNUMBER(J61),ISNUMBER(K61)),J61+K61,"")</f>
        <v/>
      </c>
      <c r="M61" s="71">
        <f>IF(AND(ISNUMBER(L61),ISNUMBER(E61)),L61-E61,"")</f>
        <v/>
      </c>
      <c r="N61" s="71" t="inlineStr">
        <is>
          <t>Sensor bias drives wrong cooling decisions (fault sweep).</t>
        </is>
      </c>
      <c r="O61" s="71" t="inlineStr">
        <is>
          <t>—</t>
        </is>
      </c>
      <c r="P61" s="71" t="inlineStr">
        <is>
          <t>VJ</t>
        </is>
      </c>
      <c r="Q61" s="71" t="inlineStr">
        <is>
          <t>Open</t>
        </is>
      </c>
    </row>
    <row r="62" ht="15" customHeight="1" s="65">
      <c r="A62" s="71" t="inlineStr">
        <is>
          <t>4.4.1 / 7.3.7.1</t>
        </is>
      </c>
      <c r="B62" s="71" t="inlineStr">
        <is>
          <t>Flow regulator</t>
        </is>
      </c>
      <c r="C62" s="71" t="inlineStr">
        <is>
          <t>TBD</t>
        </is>
      </c>
      <c r="D62" s="71" t="n">
        <v>11</v>
      </c>
      <c r="E62" s="71" t="n"/>
      <c r="F62" s="71" t="inlineStr">
        <is>
          <t>—</t>
        </is>
      </c>
      <c r="G62" s="124" t="inlineStr">
        <is>
          <t>Degrade</t>
        </is>
      </c>
      <c r="H62" s="71" t="inlineStr">
        <is>
          <t>F54</t>
        </is>
      </c>
      <c r="I62" s="71" t="inlineStr">
        <is>
          <t>Short</t>
        </is>
      </c>
      <c r="J62" s="76" t="n">
        <v>1</v>
      </c>
      <c r="K62" s="76" t="n">
        <v>1</v>
      </c>
      <c r="L62" s="77">
        <f>IF(AND(ISNUMBER(J62),ISNUMBER(K62)),J62+K62,"")</f>
        <v/>
      </c>
      <c r="M62" s="71">
        <f>IF(AND(ISNUMBER(L62),ISNUMBER(E62)),L62-E62,"")</f>
        <v/>
      </c>
      <c r="N62" s="71" t="inlineStr">
        <is>
          <t>Mis-set or failed regulator starves a device.</t>
        </is>
      </c>
      <c r="O62" s="71" t="inlineStr">
        <is>
          <t>KULI flow split verified on loco</t>
        </is>
      </c>
      <c r="P62" s="71" t="inlineStr">
        <is>
          <t>VJ</t>
        </is>
      </c>
      <c r="Q62" s="71" t="inlineStr">
        <is>
          <t>Open</t>
        </is>
      </c>
    </row>
    <row r="63" ht="23.25" customHeight="1" s="65">
      <c r="A63" s="71" t="inlineStr">
        <is>
          <t>4.4.2 / 7.2.10.1 / 7.3.7.2</t>
        </is>
      </c>
      <c r="B63" s="71" t="inlineStr">
        <is>
          <t>Coolant hose set (repair kit)</t>
        </is>
      </c>
      <c r="C63" s="71" t="inlineStr">
        <is>
          <t>TBD</t>
        </is>
      </c>
      <c r="D63" s="71" t="n">
        <v>3</v>
      </c>
      <c r="E63" s="71" t="n"/>
      <c r="F63" s="71" t="inlineStr">
        <is>
          <t>—</t>
        </is>
      </c>
      <c r="G63" s="121" t="inlineStr">
        <is>
          <t>SPOF-stop (leak)</t>
        </is>
      </c>
      <c r="H63" s="71" t="inlineStr">
        <is>
          <t>F54, F61</t>
        </is>
      </c>
      <c r="I63" s="71" t="inlineStr">
        <is>
          <t>Short</t>
        </is>
      </c>
      <c r="J63" s="76" t="n">
        <v>1</v>
      </c>
      <c r="K63" s="76" t="n">
        <v>1</v>
      </c>
      <c r="L63" s="77">
        <f>IF(AND(ISNUMBER(J63),ISNUMBER(K63)),J63+K63,"")</f>
        <v/>
      </c>
      <c r="M63" s="71">
        <f>IF(AND(ISNUMBER(L63),ISNUMBER(E63)),L63-E63,"")</f>
        <v/>
      </c>
      <c r="N63" s="71" t="inlineStr">
        <is>
          <t>Leak = pump loss equivalent.</t>
        </is>
      </c>
      <c r="O63" s="71" t="inlineStr">
        <is>
          <t>No leaks through 30 days</t>
        </is>
      </c>
      <c r="P63" s="71" t="inlineStr">
        <is>
          <t>VJ</t>
        </is>
      </c>
      <c r="Q63" s="71" t="inlineStr">
        <is>
          <t>Open</t>
        </is>
      </c>
    </row>
    <row r="64" ht="23.25" customHeight="1" s="65">
      <c r="A64" s="71" t="inlineStr">
        <is>
          <t>—</t>
        </is>
      </c>
      <c r="B64" s="71" t="inlineStr">
        <is>
          <t>Coolant top-up (Zerex G-48 or approved)</t>
        </is>
      </c>
      <c r="C64" s="71" t="inlineStr">
        <is>
          <t>Valvoline Zerex G-48</t>
        </is>
      </c>
      <c r="D64" s="71" t="n"/>
      <c r="E64" s="71" t="n"/>
      <c r="F64" s="71" t="inlineStr">
        <is>
          <t>—</t>
        </is>
      </c>
      <c r="G64" s="123" t="inlineStr">
        <is>
          <t>Consumable</t>
        </is>
      </c>
      <c r="H64" s="71" t="inlineStr">
        <is>
          <t>F54 check-valve/coolant compatibility</t>
        </is>
      </c>
      <c r="I64" s="71" t="inlineStr">
        <is>
          <t>Short</t>
        </is>
      </c>
      <c r="J64" s="76" t="inlineStr">
        <is>
          <t>40 L</t>
        </is>
      </c>
      <c r="K64" s="76" t="inlineStr">
        <is>
          <t>40 L</t>
        </is>
      </c>
      <c r="L64" s="77">
        <f>IF(AND(ISNUMBER(J64),ISNUMBER(K64)),J64+K64,"")</f>
        <v/>
      </c>
      <c r="M64" s="71">
        <f>IF(AND(ISNUMBER(L64),ISNUMBER(E64)),L64-E64,"")</f>
        <v/>
      </c>
      <c r="N64" s="71" t="inlineStr">
        <is>
          <t>Fill and leak top-up for 3 loops.</t>
        </is>
      </c>
      <c r="O64" s="71" t="inlineStr">
        <is>
          <t>—</t>
        </is>
      </c>
      <c r="P64" s="71" t="inlineStr">
        <is>
          <t>VJ</t>
        </is>
      </c>
      <c r="Q64" s="71" t="inlineStr">
        <is>
          <t>Open</t>
        </is>
      </c>
    </row>
    <row r="65" ht="23.25" customHeight="1" s="65">
      <c r="A65" s="71" t="inlineStr">
        <is>
          <t>7.2.8</t>
        </is>
      </c>
      <c r="B65" s="71" t="inlineStr">
        <is>
          <t>BTMS thermal module (MTM)</t>
        </is>
      </c>
      <c r="C65" s="71" t="inlineStr">
        <is>
          <t>Maxwell</t>
        </is>
      </c>
      <c r="D65" s="71" t="n">
        <v>4</v>
      </c>
      <c r="E65" s="71" t="n"/>
      <c r="F65" s="71" t="inlineStr">
        <is>
          <t>—</t>
        </is>
      </c>
      <c r="G65" s="124" t="inlineStr">
        <is>
          <t>Degrade (not needed for demo duty)</t>
        </is>
      </c>
      <c r="H65" s="71" t="inlineStr">
        <is>
          <t>F55; RSK-NEW-36</t>
        </is>
      </c>
      <c r="I65" s="71" t="inlineStr">
        <is>
          <t>Long</t>
        </is>
      </c>
      <c r="J65" s="76" t="n">
        <v>0</v>
      </c>
      <c r="K65" s="76" t="n">
        <v>0</v>
      </c>
      <c r="L65" s="77">
        <f>IF(AND(ISNUMBER(J65),ISNUMBER(K65)),J65+K65,"")</f>
        <v/>
      </c>
      <c r="M65" s="71">
        <f>IF(AND(ISNUMBER(L65),ISNUMBER(E65)),L65-E65,"")</f>
        <v/>
      </c>
      <c r="N65" s="71" t="inlineStr">
        <is>
          <t>Fault sweep: 1-2 module loss has no effect on 3 h duty up to 45 C. Revisit for 8 h duty (C-22) and CSX summer.</t>
        </is>
      </c>
      <c r="O65" s="71" t="inlineStr">
        <is>
          <t>—</t>
        </is>
      </c>
      <c r="P65" s="71" t="inlineStr">
        <is>
          <t>Jack</t>
        </is>
      </c>
      <c r="Q65" s="71" t="inlineStr">
        <is>
          <t>Open</t>
        </is>
      </c>
    </row>
    <row r="66" ht="23.25" customHeight="1" s="65">
      <c r="A66" s="71" t="inlineStr">
        <is>
          <t>7.2.9</t>
        </is>
      </c>
      <c r="B66" s="71" t="inlineStr">
        <is>
          <t>PTC heater</t>
        </is>
      </c>
      <c r="C66" s="71" t="inlineStr">
        <is>
          <t>Webasto HVH120</t>
        </is>
      </c>
      <c r="D66" s="71" t="n">
        <v>1</v>
      </c>
      <c r="E66" s="71" t="n"/>
      <c r="F66" s="71" t="inlineStr">
        <is>
          <t>—</t>
        </is>
      </c>
      <c r="G66" s="124" t="inlineStr">
        <is>
          <t>Degrade (cold soak only)</t>
        </is>
      </c>
      <c r="H66" s="71" t="inlineStr">
        <is>
          <t>F56, F58; RSK-NEW-25</t>
        </is>
      </c>
      <c r="I66" s="71" t="inlineStr">
        <is>
          <t>Med</t>
        </is>
      </c>
      <c r="J66" s="76" t="n">
        <v>0</v>
      </c>
      <c r="K66" s="76" t="n">
        <v>0</v>
      </c>
      <c r="L66" s="77">
        <f>IF(AND(ISNUMBER(J66),ISNUMBER(K66)),J66+K66,"")</f>
        <v/>
      </c>
      <c r="M66" s="71">
        <f>IF(AND(ISNUMBER(L66),ISNUMBER(E66)),L66-E66,"")</f>
        <v/>
      </c>
      <c r="N66" s="71" t="inlineStr">
        <is>
          <t>Jan-Feb Jacksonville mild; preconditioning plan covers it. Revisit after J-21.</t>
        </is>
      </c>
      <c r="O66" s="71" t="inlineStr">
        <is>
          <t>—</t>
        </is>
      </c>
      <c r="P66" s="71" t="inlineStr">
        <is>
          <t>Jack</t>
        </is>
      </c>
      <c r="Q66" s="71" t="inlineStr">
        <is>
          <t>Open</t>
        </is>
      </c>
    </row>
    <row r="67" ht="23.25" customHeight="1" s="65">
      <c r="A67" s="71" t="inlineStr">
        <is>
          <t>7.3.1</t>
        </is>
      </c>
      <c r="B67" s="71" t="inlineStr">
        <is>
          <t>PE cooling controller</t>
        </is>
      </c>
      <c r="C67" s="71" t="inlineStr">
        <is>
          <t>Voltify/Integral</t>
        </is>
      </c>
      <c r="D67" s="71" t="n">
        <v>1</v>
      </c>
      <c r="E67" s="71" t="n"/>
      <c r="F67" s="71" t="inlineStr">
        <is>
          <t>—</t>
        </is>
      </c>
      <c r="G67" s="121" t="inlineStr">
        <is>
          <t>SPOF-stop (fast)</t>
        </is>
      </c>
      <c r="H67" s="71" t="inlineStr">
        <is>
          <t>F59, F61</t>
        </is>
      </c>
      <c r="I67" s="71" t="inlineStr">
        <is>
          <t>Med</t>
        </is>
      </c>
      <c r="J67" s="76" t="n">
        <v>1</v>
      </c>
      <c r="K67" s="76" t="n">
        <v>0</v>
      </c>
      <c r="L67" s="77">
        <f>IF(AND(ISNUMBER(J67),ISNUMBER(K67)),J67+K67,"")</f>
        <v/>
      </c>
      <c r="M67" s="71">
        <f>IF(AND(ISNUMBER(L67),ISNUMBER(E67)),L67-E67,"")</f>
        <v/>
      </c>
      <c r="N67" s="71" t="inlineStr">
        <is>
          <t>Controls PE pumps and fans; if built as a custom board, keep a pre-flashed spare.</t>
        </is>
      </c>
      <c r="O67" s="71" t="inlineStr">
        <is>
          <t>—</t>
        </is>
      </c>
      <c r="P67" s="71" t="inlineStr">
        <is>
          <t>Micah</t>
        </is>
      </c>
      <c r="Q67" s="71" t="inlineStr">
        <is>
          <t>Open</t>
        </is>
      </c>
    </row>
    <row r="68" ht="15" customHeight="1" s="65">
      <c r="A68" s="71" t="inlineStr">
        <is>
          <t>10.0.2.3</t>
        </is>
      </c>
      <c r="B68" s="71" t="inlineStr">
        <is>
          <t>Traction blower filter</t>
        </is>
      </c>
      <c r="C68" s="71" t="inlineStr">
        <is>
          <t>HHR item</t>
        </is>
      </c>
      <c r="D68" s="71" t="n">
        <v>2</v>
      </c>
      <c r="E68" s="71" t="n"/>
      <c r="F68" s="71" t="inlineStr">
        <is>
          <t>—</t>
        </is>
      </c>
      <c r="G68" s="123" t="inlineStr">
        <is>
          <t>Consumable</t>
        </is>
      </c>
      <c r="H68" s="71" t="inlineStr">
        <is>
          <t>F64</t>
        </is>
      </c>
      <c r="I68" s="71" t="inlineStr">
        <is>
          <t>Short</t>
        </is>
      </c>
      <c r="J68" s="76" t="n">
        <v>0</v>
      </c>
      <c r="K68" s="76" t="n">
        <v>2</v>
      </c>
      <c r="L68" s="77">
        <f>IF(AND(ISNUMBER(J68),ISNUMBER(K68)),J68+K68,"")</f>
        <v/>
      </c>
      <c r="M68" s="71">
        <f>IF(AND(ISNUMBER(L68),ISNUMBER(E68)),L68-E68,"")</f>
        <v/>
      </c>
      <c r="N68" s="71" t="inlineStr">
        <is>
          <t>Clogged filter = blower loss equivalent.</t>
        </is>
      </c>
      <c r="O68" s="71" t="inlineStr">
        <is>
          <t>—</t>
        </is>
      </c>
      <c r="P68" s="71" t="inlineStr">
        <is>
          <t>Dragan</t>
        </is>
      </c>
      <c r="Q68" s="71" t="inlineStr">
        <is>
          <t>Open</t>
        </is>
      </c>
    </row>
    <row r="69" ht="23.25" customHeight="1" s="65">
      <c r="A69" s="71" t="inlineStr">
        <is>
          <t>10.0.2.1</t>
        </is>
      </c>
      <c r="B69" s="71" t="inlineStr">
        <is>
          <t>Traction blower</t>
        </is>
      </c>
      <c r="C69" s="71" t="inlineStr">
        <is>
          <t>HHR item</t>
        </is>
      </c>
      <c r="D69" s="71" t="n">
        <v>2</v>
      </c>
      <c r="E69" s="71" t="n"/>
      <c r="F69" s="71" t="inlineStr">
        <is>
          <t>—</t>
        </is>
      </c>
      <c r="G69" s="124" t="inlineStr">
        <is>
          <t>Degrade (WATCH)</t>
        </is>
      </c>
      <c r="H69" s="71" t="inlineStr">
        <is>
          <t>F64; RSK-NEW-34</t>
        </is>
      </c>
      <c r="I69" s="71" t="inlineStr">
        <is>
          <t>Long</t>
        </is>
      </c>
      <c r="J69" s="76" t="n">
        <v>0</v>
      </c>
      <c r="K69" s="76" t="n">
        <v>0</v>
      </c>
      <c r="L69" s="77">
        <f>IF(AND(ISNUMBER(J69),ISNUMBER(K69)),J69+K69,"")</f>
        <v/>
      </c>
      <c r="M69" s="71">
        <f>IF(AND(ISNUMBER(L69),ISNUMBER(E69)),L69-E69,"")</f>
        <v/>
      </c>
      <c r="N69" s="71" t="inlineStr">
        <is>
          <t>Fault sweep: +49 K motor rise in 3 h, no limit. Decide after C-22 (8 h).</t>
        </is>
      </c>
      <c r="O69" s="71" t="inlineStr">
        <is>
          <t>—</t>
        </is>
      </c>
      <c r="P69" s="71" t="inlineStr">
        <is>
          <t>Dragan</t>
        </is>
      </c>
      <c r="Q69" s="71" t="inlineStr">
        <is>
          <t>Open</t>
        </is>
      </c>
    </row>
    <row r="70" ht="23.25" customHeight="1" s="65">
      <c r="A70" s="71" t="inlineStr">
        <is>
          <t>3.2.5</t>
        </is>
      </c>
      <c r="B70" s="71" t="inlineStr">
        <is>
          <t>Starlink modem</t>
        </is>
      </c>
      <c r="C70" s="71" t="inlineStr">
        <is>
          <t>Starlink</t>
        </is>
      </c>
      <c r="D70" s="71" t="n">
        <v>1</v>
      </c>
      <c r="E70" s="71" t="n"/>
      <c r="F70" s="71" t="inlineStr">
        <is>
          <t>—</t>
        </is>
      </c>
      <c r="G70" s="124" t="inlineStr">
        <is>
          <t>Degrade</t>
        </is>
      </c>
      <c r="H70" s="71" t="inlineStr">
        <is>
          <t>F48, RSK-NEW-19</t>
        </is>
      </c>
      <c r="I70" s="71" t="inlineStr">
        <is>
          <t>Short</t>
        </is>
      </c>
      <c r="J70" s="76" t="n">
        <v>0</v>
      </c>
      <c r="K70" s="76" t="n">
        <v>1</v>
      </c>
      <c r="L70" s="77">
        <f>IF(AND(ISNUMBER(J70),ISNUMBER(K70)),J70+K70,"")</f>
        <v/>
      </c>
      <c r="M70" s="71">
        <f>IF(AND(ISNUMBER(L70),ISNUMBER(E70)),L70-E70,"")</f>
        <v/>
      </c>
      <c r="N70" s="71" t="inlineStr">
        <is>
          <t>Primary telemetry path; LTE router is the fallback, but data logging from first power is a requirement (DR-50).</t>
        </is>
      </c>
      <c r="O70" s="71" t="inlineStr">
        <is>
          <t>Starlink + LTE both proven at JAX</t>
        </is>
      </c>
      <c r="P70" s="71" t="inlineStr">
        <is>
          <t>Matan</t>
        </is>
      </c>
      <c r="Q70" s="71" t="inlineStr">
        <is>
          <t>Open</t>
        </is>
      </c>
    </row>
    <row r="71" ht="15" customHeight="1" s="65">
      <c r="A71" s="71" t="inlineStr">
        <is>
          <t>3.2.5.1</t>
        </is>
      </c>
      <c r="B71" s="71" t="inlineStr">
        <is>
          <t>Starlink roof antenna</t>
        </is>
      </c>
      <c r="C71" s="71" t="inlineStr">
        <is>
          <t>Starlink</t>
        </is>
      </c>
      <c r="D71" s="71" t="n">
        <v>1</v>
      </c>
      <c r="E71" s="71" t="n"/>
      <c r="F71" s="71" t="inlineStr">
        <is>
          <t>—</t>
        </is>
      </c>
      <c r="G71" s="124" t="inlineStr">
        <is>
          <t>Degrade</t>
        </is>
      </c>
      <c r="H71" s="71" t="inlineStr">
        <is>
          <t>F48</t>
        </is>
      </c>
      <c r="I71" s="71" t="inlineStr">
        <is>
          <t>Short</t>
        </is>
      </c>
      <c r="J71" s="76" t="n">
        <v>0</v>
      </c>
      <c r="K71" s="76" t="n">
        <v>0</v>
      </c>
      <c r="L71" s="77">
        <f>IF(AND(ISNUMBER(J71),ISNUMBER(K71)),J71+K71,"")</f>
        <v/>
      </c>
      <c r="M71" s="71">
        <f>IF(AND(ISNUMBER(L71),ISNUMBER(E71)),L71-E71,"")</f>
        <v/>
      </c>
      <c r="N71" s="71" t="inlineStr">
        <is>
          <t>Roof unit rarely fails; modem spare covers the likely failure.</t>
        </is>
      </c>
      <c r="O71" s="71" t="inlineStr">
        <is>
          <t>—</t>
        </is>
      </c>
      <c r="P71" s="71" t="inlineStr">
        <is>
          <t>Matan</t>
        </is>
      </c>
      <c r="Q71" s="71" t="inlineStr">
        <is>
          <t>Open</t>
        </is>
      </c>
    </row>
    <row r="72" ht="34.5" customHeight="1" s="65">
      <c r="A72" s="71" t="inlineStr">
        <is>
          <t>10.0.1</t>
        </is>
      </c>
      <c r="B72" s="71" t="inlineStr">
        <is>
          <t>RFID reader (operator authentication)</t>
        </is>
      </c>
      <c r="C72" s="71" t="inlineStr">
        <is>
          <t>FEIG LRU500i-PoE-UHF</t>
        </is>
      </c>
      <c r="D72" s="71" t="n">
        <v>1</v>
      </c>
      <c r="E72" s="71" t="n"/>
      <c r="F72" s="71" t="inlineStr">
        <is>
          <t>—</t>
        </is>
      </c>
      <c r="G72" s="121" t="inlineStr">
        <is>
          <t>SPOF-stop (if VMS requires RFID to enable)</t>
        </is>
      </c>
      <c r="H72" s="71" t="inlineStr">
        <is>
          <t>VMS state machine</t>
        </is>
      </c>
      <c r="I72" s="71" t="inlineStr">
        <is>
          <t>Med</t>
        </is>
      </c>
      <c r="J72" s="76" t="n">
        <v>0</v>
      </c>
      <c r="K72" s="76" t="n">
        <v>1</v>
      </c>
      <c r="L72" s="77">
        <f>IF(AND(ISNUMBER(J72),ISNUMBER(K72)),J72+K72,"")</f>
        <v/>
      </c>
      <c r="M72" s="71">
        <f>IF(AND(ISNUMBER(L72),ISNUMBER(E72)),L72-E72,"")</f>
        <v/>
      </c>
      <c r="N72" s="71" t="inlineStr">
        <is>
          <t>If authentication gates traction, a dead reader stops the loco; confirm whether a bypass exists.</t>
        </is>
      </c>
      <c r="O72" s="71" t="inlineStr">
        <is>
          <t>VMS bypass for RFID confirmed</t>
        </is>
      </c>
      <c r="P72" s="71" t="inlineStr">
        <is>
          <t>Jared</t>
        </is>
      </c>
      <c r="Q72" s="71" t="inlineStr">
        <is>
          <t>Open</t>
        </is>
      </c>
    </row>
    <row r="73" ht="15" customHeight="1" s="65">
      <c r="A73" s="71" t="inlineStr">
        <is>
          <t>6.3.1</t>
        </is>
      </c>
      <c r="B73" s="71" t="inlineStr">
        <is>
          <t>E-Stop voltage level translator</t>
        </is>
      </c>
      <c r="C73" s="71" t="inlineStr">
        <is>
          <t>Voltify</t>
        </is>
      </c>
      <c r="D73" s="71" t="n">
        <v>1</v>
      </c>
      <c r="E73" s="71" t="n"/>
      <c r="F73" s="71" t="inlineStr">
        <is>
          <t>—</t>
        </is>
      </c>
      <c r="G73" s="121" t="inlineStr">
        <is>
          <t>Safety + SPOF-stop</t>
        </is>
      </c>
      <c r="H73" s="71" t="inlineStr">
        <is>
          <t>E-Stop tests</t>
        </is>
      </c>
      <c r="I73" s="71" t="inlineStr">
        <is>
          <t>Med</t>
        </is>
      </c>
      <c r="J73" s="76" t="n">
        <v>1</v>
      </c>
      <c r="K73" s="76" t="n">
        <v>0</v>
      </c>
      <c r="L73" s="77">
        <f>IF(AND(ISNUMBER(J73),ISNUMBER(K73)),J73+K73,"")</f>
        <v/>
      </c>
      <c r="M73" s="71">
        <f>IF(AND(ISNUMBER(L73),ISNUMBER(E73)),L73-E73,"")</f>
        <v/>
      </c>
      <c r="N73" s="71" t="inlineStr">
        <is>
          <t>Custom board in the E-Stop chain.</t>
        </is>
      </c>
      <c r="O73" s="71" t="inlineStr">
        <is>
          <t>Board passes H-09/H-10 and 30 days</t>
        </is>
      </c>
      <c r="P73" s="71" t="inlineStr">
        <is>
          <t>Micah</t>
        </is>
      </c>
      <c r="Q73" s="71" t="inlineStr">
        <is>
          <t>Open</t>
        </is>
      </c>
    </row>
    <row r="74" ht="23.25" customHeight="1" s="65">
      <c r="A74" s="71" t="inlineStr">
        <is>
          <t>5.8</t>
        </is>
      </c>
      <c r="B74" s="71" t="inlineStr">
        <is>
          <t>Gas and fire sensor</t>
        </is>
      </c>
      <c r="C74" s="71" t="inlineStr">
        <is>
          <t>TBD</t>
        </is>
      </c>
      <c r="D74" s="71" t="n"/>
      <c r="E74" s="71" t="n"/>
      <c r="F74" s="71" t="inlineStr">
        <is>
          <t>—</t>
        </is>
      </c>
      <c r="G74" s="121" t="inlineStr">
        <is>
          <t>Safety</t>
        </is>
      </c>
      <c r="H74" s="71" t="inlineStr">
        <is>
          <t>Fire/gas detection (TBD)</t>
        </is>
      </c>
      <c r="I74" s="71" t="inlineStr">
        <is>
          <t>Med</t>
        </is>
      </c>
      <c r="J74" s="76" t="n">
        <v>0</v>
      </c>
      <c r="K74" s="76" t="n">
        <v>1</v>
      </c>
      <c r="L74" s="77">
        <f>IF(AND(ISNUMBER(J74),ISNUMBER(K74)),J74+K74,"")</f>
        <v/>
      </c>
      <c r="M74" s="71">
        <f>IF(AND(ISNUMBER(L74),ISNUMBER(E74)),L74-E74,"")</f>
        <v/>
      </c>
      <c r="N74" s="71" t="inlineStr">
        <is>
          <t>Safety detection must be functional to operate; quantity and P/N TBD.</t>
        </is>
      </c>
      <c r="O74" s="71" t="inlineStr">
        <is>
          <t>P/N and count defined</t>
        </is>
      </c>
      <c r="P74" s="71" t="inlineStr">
        <is>
          <t>Jared</t>
        </is>
      </c>
      <c r="Q74" s="71" t="inlineStr">
        <is>
          <t>Open</t>
        </is>
      </c>
    </row>
    <row r="75" ht="23.25" customHeight="1" s="65">
      <c r="A75" s="71" t="inlineStr">
        <is>
          <t>1.1</t>
        </is>
      </c>
      <c r="B75" s="71" t="inlineStr">
        <is>
          <t>72 V lead-acid starter battery (32 V blocks)</t>
        </is>
      </c>
      <c r="C75" s="71" t="inlineStr">
        <is>
          <t>Donor (HHR)</t>
        </is>
      </c>
      <c r="D75" s="71" t="n">
        <v>2</v>
      </c>
      <c r="E75" s="71" t="n"/>
      <c r="F75" s="71" t="inlineStr">
        <is>
          <t>HHR:2</t>
        </is>
      </c>
      <c r="G75" s="124" t="inlineStr">
        <is>
          <t>Degrade</t>
        </is>
      </c>
      <c r="H75" s="71" t="inlineStr">
        <is>
          <t>72 V bus, dead-in-tow 72 V endurance</t>
        </is>
      </c>
      <c r="I75" s="71" t="inlineStr">
        <is>
          <t>Med</t>
        </is>
      </c>
      <c r="J75" s="76" t="n">
        <v>0</v>
      </c>
      <c r="K75" s="76" t="n">
        <v>0</v>
      </c>
      <c r="L75" s="77">
        <f>IF(AND(ISNUMBER(J75),ISNUMBER(K75)),J75+K75,"")</f>
        <v/>
      </c>
      <c r="M75" s="71">
        <f>IF(AND(ISNUMBER(L75),ISNUMBER(E75)),L75-E75,"")</f>
        <v/>
      </c>
      <c r="N75" s="71" t="inlineStr">
        <is>
          <t>Two blocks already in HHR stock beyond the installed set; no extra spare.</t>
        </is>
      </c>
      <c r="O75" s="71" t="inlineStr">
        <is>
          <t>—</t>
        </is>
      </c>
      <c r="P75" s="71" t="inlineStr">
        <is>
          <t>Dragan</t>
        </is>
      </c>
      <c r="Q75" s="71" t="inlineStr">
        <is>
          <t>Open</t>
        </is>
      </c>
    </row>
    <row r="76" ht="15" customHeight="1" s="65">
      <c r="A76" s="71" t="inlineStr">
        <is>
          <t>7.2.13</t>
        </is>
      </c>
      <c r="B76" s="71" t="inlineStr">
        <is>
          <t>Inline coolant flow meter</t>
        </is>
      </c>
      <c r="C76" s="71" t="inlineStr">
        <is>
          <t>OMICON F-4600</t>
        </is>
      </c>
      <c r="D76" s="71" t="n">
        <v>1</v>
      </c>
      <c r="E76" s="71" t="n"/>
      <c r="F76" s="71" t="inlineStr">
        <is>
          <t>—</t>
        </is>
      </c>
      <c r="G76" s="125" t="inlineStr">
        <is>
          <t>Low</t>
        </is>
      </c>
      <c r="H76" s="71" t="inlineStr">
        <is>
          <t>F61 (flow monitoring)</t>
        </is>
      </c>
      <c r="I76" s="71" t="inlineStr">
        <is>
          <t>Short</t>
        </is>
      </c>
      <c r="J76" s="76" t="n">
        <v>0</v>
      </c>
      <c r="K76" s="76" t="n">
        <v>0</v>
      </c>
      <c r="L76" s="77">
        <f>IF(AND(ISNUMBER(J76),ISNUMBER(K76)),J76+K76,"")</f>
        <v/>
      </c>
      <c r="M76" s="71">
        <f>IF(AND(ISNUMBER(L76),ISNUMBER(E76)),L76-E76,"")</f>
        <v/>
      </c>
      <c r="N76" s="71" t="inlineStr">
        <is>
          <t>Instrumentation only; does not stop the loco.</t>
        </is>
      </c>
      <c r="O76" s="71" t="inlineStr">
        <is>
          <t>—</t>
        </is>
      </c>
      <c r="P76" s="71" t="inlineStr">
        <is>
          <t>VJ</t>
        </is>
      </c>
      <c r="Q76" s="71" t="inlineStr">
        <is>
          <t>Open</t>
        </is>
      </c>
    </row>
    <row r="77" ht="23.25" customHeight="1" s="65">
      <c r="A77" s="71" t="inlineStr">
        <is>
          <t>2.1</t>
        </is>
      </c>
      <c r="B77" s="71" t="inlineStr">
        <is>
          <t>Air brake system</t>
        </is>
      </c>
      <c r="C77" s="71" t="inlineStr">
        <is>
          <t>NYAB CCBIIe</t>
        </is>
      </c>
      <c r="D77" s="71" t="n">
        <v>1</v>
      </c>
      <c r="E77" s="71" t="n">
        <v>0</v>
      </c>
      <c r="F77" s="71" t="inlineStr">
        <is>
          <t>—</t>
        </is>
      </c>
      <c r="G77" s="121" t="inlineStr">
        <is>
          <t>SPOF-stop</t>
        </is>
      </c>
      <c r="H77" s="71" t="inlineStr">
        <is>
          <t>Brakes (FRA 229/232)</t>
        </is>
      </c>
      <c r="I77" s="71" t="inlineStr">
        <is>
          <t>Long</t>
        </is>
      </c>
      <c r="J77" s="76" t="n">
        <v>0</v>
      </c>
      <c r="K77" s="76" t="n">
        <v>0</v>
      </c>
      <c r="L77" s="77">
        <f>IF(AND(ISNUMBER(J77),ISNUMBER(K77)),J77+K77,"")</f>
        <v/>
      </c>
      <c r="M77" s="71">
        <f>IF(AND(ISNUMBER(L77),ISNUMBER(E77)),L77-E77,"")</f>
        <v/>
      </c>
      <c r="N77" s="71" t="inlineStr">
        <is>
          <t>BOM target 0; covered by NYAB service and the HHR air-brake supplier.</t>
        </is>
      </c>
      <c r="O77" s="71" t="inlineStr">
        <is>
          <t>—</t>
        </is>
      </c>
      <c r="P77" s="71" t="inlineStr">
        <is>
          <t>Dragan</t>
        </is>
      </c>
      <c r="Q77" s="71" t="inlineStr">
        <is>
          <t>Open</t>
        </is>
      </c>
    </row>
    <row r="78" ht="23.25" customHeight="1" s="65">
      <c r="A78" s="71" t="inlineStr">
        <is>
          <t>6.1.7</t>
        </is>
      </c>
      <c r="B78" s="71" t="inlineStr">
        <is>
          <t>Integral LC filter</t>
        </is>
      </c>
      <c r="C78" s="71" t="inlineStr">
        <is>
          <t>Integral LCF-0001</t>
        </is>
      </c>
      <c r="D78" s="71" t="n">
        <v>1</v>
      </c>
      <c r="E78" s="71" t="n"/>
      <c r="F78" s="71" t="inlineStr">
        <is>
          <t>—</t>
        </is>
      </c>
      <c r="G78" s="121" t="inlineStr">
        <is>
          <t>SPOF-stop (charging)</t>
        </is>
      </c>
      <c r="H78" s="71" t="inlineStr">
        <is>
          <t>F12</t>
        </is>
      </c>
      <c r="I78" s="71" t="inlineStr">
        <is>
          <t>Long</t>
        </is>
      </c>
      <c r="J78" s="76" t="n">
        <v>0</v>
      </c>
      <c r="K78" s="76" t="n">
        <v>0</v>
      </c>
      <c r="L78" s="77">
        <f>IF(AND(ISNUMBER(J78),ISNUMBER(K78)),J78+K78,"")</f>
        <v/>
      </c>
      <c r="M78" s="71">
        <f>IF(AND(ISNUMBER(L78),ISNUMBER(E78)),L78-E78,"")</f>
        <v/>
      </c>
      <c r="N78" s="71" t="inlineStr">
        <is>
          <t>Passive filter, low failure rate; Integral support instead of a spare.</t>
        </is>
      </c>
      <c r="O78" s="71" t="inlineStr">
        <is>
          <t>—</t>
        </is>
      </c>
      <c r="P78" s="71" t="inlineStr">
        <is>
          <t>Jonathan + Integral</t>
        </is>
      </c>
      <c r="Q78" s="71" t="inlineStr">
        <is>
          <t>Open</t>
        </is>
      </c>
    </row>
    <row r="79" ht="23.25" customHeight="1" s="65">
      <c r="A79" s="71" t="inlineStr">
        <is>
          <t>9.x</t>
        </is>
      </c>
      <c r="B79" s="71" t="inlineStr">
        <is>
          <t>MCS box (inlets, controllers, contactors, HMI)</t>
        </is>
      </c>
      <c r="C79" s="71" t="inlineStr">
        <is>
          <t>Various</t>
        </is>
      </c>
      <c r="D79" s="71" t="n"/>
      <c r="E79" s="71" t="n"/>
      <c r="F79" s="71" t="inlineStr">
        <is>
          <t>—</t>
        </is>
      </c>
      <c r="G79" s="125" t="inlineStr">
        <is>
          <t>Not needed for demo</t>
        </is>
      </c>
      <c r="H79" s="71" t="inlineStr">
        <is>
          <t>DR-05</t>
        </is>
      </c>
      <c r="I79" s="71" t="inlineStr">
        <is>
          <t>—</t>
        </is>
      </c>
      <c r="J79" s="76" t="n">
        <v>0</v>
      </c>
      <c r="K79" s="76" t="n">
        <v>0</v>
      </c>
      <c r="L79" s="77">
        <f>IF(AND(ISNUMBER(J79),ISNUMBER(K79)),J79+K79,"")</f>
        <v/>
      </c>
      <c r="M79" s="71">
        <f>IF(AND(ISNUMBER(L79),ISNUMBER(E79)),L79-E79,"")</f>
        <v/>
      </c>
      <c r="N79" s="71" t="inlineStr">
        <is>
          <t>MCS deferred to post-demo.</t>
        </is>
      </c>
      <c r="O79" s="71" t="inlineStr">
        <is>
          <t>—</t>
        </is>
      </c>
      <c r="P79" s="71" t="inlineStr">
        <is>
          <t>—</t>
        </is>
      </c>
      <c r="Q79" s="71" t="inlineStr">
        <is>
          <t>Open</t>
        </is>
      </c>
    </row>
    <row r="80" ht="15" customHeight="1" s="65">
      <c r="A80" s="71" t="inlineStr">
        <is>
          <t>6.1.2</t>
        </is>
      </c>
      <c r="B80" s="71" t="inlineStr">
        <is>
          <t>HSCB</t>
        </is>
      </c>
      <c r="C80" s="71" t="inlineStr">
        <is>
          <t>Secheron</t>
        </is>
      </c>
      <c r="D80" s="71" t="n">
        <v>2</v>
      </c>
      <c r="E80" s="71" t="n"/>
      <c r="F80" s="71" t="inlineStr">
        <is>
          <t>—</t>
        </is>
      </c>
      <c r="G80" s="125" t="inlineStr">
        <is>
          <t>SPOF-stop</t>
        </is>
      </c>
      <c r="H80" s="71" t="inlineStr">
        <is>
          <t>DR-42; RSK-NEW-16; F67</t>
        </is>
      </c>
      <c r="I80" s="71" t="inlineStr">
        <is>
          <t>TBD (Secheron)</t>
        </is>
      </c>
      <c r="J80" s="76" t="n">
        <v>0</v>
      </c>
      <c r="K80" s="76" t="n">
        <v>0</v>
      </c>
      <c r="L80" s="77">
        <f>IF(AND(ISNUMBER(J80),ISNUMBER(K80)),J80+K80,"")</f>
        <v/>
      </c>
      <c r="M80" s="71">
        <f>IF(AND(ISNUMBER(L80),ISNUMBER(E80)),L80-E80,"")</f>
        <v/>
      </c>
      <c r="N80" s="71" t="inlineStr">
        <is>
          <t>Retained for demo in v1.1; no charging without it. Spare quantity TBD against Secheron lead time</t>
        </is>
      </c>
      <c r="O80" s="71" t="inlineStr">
        <is>
          <t>—</t>
        </is>
      </c>
      <c r="P80" s="71" t="inlineStr">
        <is>
          <t>Bryan</t>
        </is>
      </c>
      <c r="Q80" s="71" t="inlineStr">
        <is>
          <t>Open</t>
        </is>
      </c>
    </row>
    <row r="82" ht="15" customHeight="1" s="65">
      <c r="A82" s="75" t="inlineStr">
        <is>
          <t>Summary</t>
        </is>
      </c>
    </row>
    <row r="83" ht="15" customHeight="1" s="65">
      <c r="A83" s="73" t="inlineStr">
        <is>
          <t>Lines with a recommended spare</t>
        </is>
      </c>
      <c r="D83" s="75">
        <f>COUNTIF(L6:L80,"&gt;0")</f>
        <v/>
      </c>
    </row>
    <row r="84" ht="15" customHeight="1" s="65">
      <c r="A84" s="73" t="inlineStr">
        <is>
          <t>Go-kit units (Huntington, travels with loco)</t>
        </is>
      </c>
      <c r="D84" s="75">
        <f>SUM(J6:J80)</f>
        <v/>
      </c>
    </row>
    <row r="85" ht="15" customHeight="1" s="65">
      <c r="A85" s="73" t="inlineStr">
        <is>
          <t>JAX depot units</t>
        </is>
      </c>
      <c r="D85" s="75">
        <f>SUM(K6:K80)</f>
        <v/>
      </c>
    </row>
    <row r="86" ht="15" customHeight="1" s="65">
      <c r="A86" s="73" t="inlineStr">
        <is>
          <t>Total units recommended (excl. coolant)</t>
        </is>
      </c>
      <c r="D86" s="75">
        <f>SUM(L6:L80)</f>
        <v/>
      </c>
    </row>
    <row r="87" ht="15" customHeight="1" s="65">
      <c r="A87" s="73" t="inlineStr">
        <is>
          <t>Lines below Jonathan target (delta &lt; 0)</t>
        </is>
      </c>
      <c r="D87" s="75">
        <f>COUNTIF(M6:M80,"&lt;0")</f>
        <v/>
      </c>
    </row>
    <row r="88" ht="15" customHeight="1" s="65">
      <c r="A88" s="73" t="inlineStr">
        <is>
          <t>Lines above Jonathan target (delta &gt; 0)</t>
        </is>
      </c>
      <c r="D88" s="75">
        <f>COUNTIF(M6:M80,"&gt;0")</f>
        <v/>
      </c>
    </row>
    <row r="89" ht="15" customHeight="1" s="65">
      <c r="A89" s="73" t="inlineStr">
        <is>
          <t>Stop-the-loco / safety lines</t>
        </is>
      </c>
      <c r="D89" s="75">
        <f>COUNTIF(G6:G80,"SPOF-stop*")+COUNTIF(G6:G80,"Safety*")</f>
        <v/>
      </c>
    </row>
    <row r="90" ht="15" customHeight="1" s="65">
      <c r="A90" s="73" t="inlineStr">
        <is>
          <t>Long-lead lines with a spare</t>
        </is>
      </c>
      <c r="D90" s="75">
        <f>COUNTIFS(I6:I80,"Long",L6:L80,"&gt;0")</f>
        <v/>
      </c>
    </row>
    <row r="92" ht="15" customHeight="1" s="65">
      <c r="A92" s="75" t="inlineStr">
        <is>
          <t>Notes</t>
        </is>
      </c>
    </row>
    <row r="93" ht="15" customHeight="1" s="65">
      <c r="A93" s="73" t="inlineStr">
        <is>
          <t>1. Biggest additions where the BOM had no target: one spare chopper and LCC boards with the loco (axle loss cuts tonnage ~25%; LCC loss stops the loco), a 750V-PS and 72V-PS (single-source, all aux lost), pumps and fans (fastest failures in the fault sweep), and the common 2000 A fuse and Rincon contactors for first energization.</t>
        </is>
      </c>
    </row>
    <row r="94" ht="15" customHeight="1" s="65">
      <c r="A94" s="73" t="inlineStr">
        <is>
          <t>2. Items held at 0 on purpose: Maxwell modules, PTC heater, battery modules, pantograph bodies, traction blowers and MCS. (v1.1: HSCB removed from this list; retained for demo, spare quantity TBD.) The fault sweep and demo scope show they do not stop the demo; revisit after C-22 (8 h duty) and before CSX summer service.</t>
        </is>
      </c>
    </row>
    <row r="95" ht="15" customHeight="1" s="65">
      <c r="A95" s="73" t="inlineStr">
        <is>
          <t>3. Aligned to Jonathan's BOM targets wherever they are higher (2000 A fuse 5, 750 V BTMS fuses 5 each, RECOM 24 V PS 4, VMS push button 3, WiFi antenna 1, speaker 1, pantograph carbon strips 16). No line is below his target. Lines without a BOM target carry a suggestion based on function and failure risk.</t>
        </is>
      </c>
    </row>
    <row r="96" ht="15" customHeight="1" s="65">
      <c r="A96" s="73" t="inlineStr">
        <is>
          <t>4. BOM shows BOTH an EMP HV radiator + fan assembly and an LV radiator with 3 SPAL fans per loop. The POC Power Budget lists only the SPAL fans; the model and KULI only the EMP set (RSK-NEW-35).</t>
        </is>
      </c>
    </row>
    <row r="97" ht="15" customHeight="1" s="65">
      <c r="A97" s="73" t="inlineStr">
        <is>
          <t>5. Several BOM P/Ns are TBD or marked "??" (fuses, sensors, flow regulators, UPS, display). Spare quantities hold, but cannot be ordered until P/Ns are fixed.</t>
        </is>
      </c>
    </row>
    <row r="98" ht="15" customHeight="1" s="65">
      <c r="A98" s="73" t="inlineStr">
        <is>
          <t>6. Integral items (chopper, LCC boards, LDU, ITI-AUX): confirm with Integral whether they hold field spares and their turnaround, which may replace Voltify-held spares.</t>
        </is>
      </c>
    </row>
  </sheetData>
  <autoFilter ref="A5:Q80"/>
  <dataValidations count="1">
    <dataValidation sqref="Q6:Q80" showDropDown="0" showInputMessage="0" showErrorMessage="0" allowBlank="1" type="list" errorStyle="stop" operator="between">
      <formula1>"Open,Agreed,Ordered,On hand,Reduced,Not needed"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64" min="1" max="1"/>
    <col width="14" customWidth="1" style="64" min="2" max="2"/>
    <col width="60" customWidth="1" style="64" min="3" max="3"/>
  </cols>
  <sheetData>
    <row r="1" ht="15" customHeight="1" s="65">
      <c r="A1" s="75" t="inlineStr">
        <is>
          <t>Dynamic charging window</t>
        </is>
      </c>
    </row>
    <row r="2" ht="15" customHeight="1" s="65">
      <c r="A2" s="73" t="inlineStr">
        <is>
          <t>Pack energy (MWh) — 48 batteries, 6 strings</t>
        </is>
      </c>
      <c r="B2" s="126" t="n">
        <v>5.016</v>
      </c>
      <c r="C2" s="73" t="inlineStr">
        <is>
          <t>Dynamic charging demo plan, Oct 6 (confirmed); 4.2 MWh retired</t>
        </is>
      </c>
    </row>
    <row r="3" ht="15" customHeight="1" s="65">
      <c r="A3" s="73" t="inlineStr">
        <is>
          <t>Usable SOC window (fraction)</t>
        </is>
      </c>
      <c r="B3" s="127" t="n">
        <v>0.8</v>
      </c>
      <c r="C3" s="73" t="inlineStr">
        <is>
          <t>Assumption: 10-90%</t>
        </is>
      </c>
    </row>
    <row r="4" ht="15" customHeight="1" s="65">
      <c r="A4" s="133" t="inlineStr">
        <is>
          <t>Charge power at wire (MW)</t>
        </is>
      </c>
      <c r="B4" s="134" t="n">
        <v>2.1</v>
      </c>
      <c r="C4" s="133" t="inlineStr">
        <is>
          <t>Demo limit (DR-17): 0.5C x 4.2 MWh Jacksonville ground ESS; wire current &lt;= 1,666 A</t>
        </is>
      </c>
    </row>
    <row r="5" ht="15" customHeight="1" s="65">
      <c r="A5" s="73" t="inlineStr">
        <is>
          <t>Wire-to-battery efficiency</t>
        </is>
      </c>
      <c r="B5" s="127" t="n">
        <v>0.97</v>
      </c>
      <c r="C5" s="73" t="inlineStr">
        <is>
          <t>Assumption; to be measured (J-06)</t>
        </is>
      </c>
    </row>
    <row r="6" ht="15" customHeight="1" s="65">
      <c r="A6" s="73" t="inlineStr">
        <is>
          <t>Speed (mph)</t>
        </is>
      </c>
      <c r="B6" s="126" t="n">
        <v>0.5</v>
      </c>
      <c r="C6" s="73" t="inlineStr">
        <is>
          <t>Showcase</t>
        </is>
      </c>
    </row>
    <row r="7" ht="15" customHeight="1" s="65">
      <c r="A7" s="73" t="inlineStr">
        <is>
          <t>Target distance (mi)</t>
        </is>
      </c>
      <c r="B7" s="126" t="n">
        <v>2</v>
      </c>
      <c r="C7" s="73" t="inlineStr">
        <is>
          <t>Showcase</t>
        </is>
      </c>
    </row>
    <row r="8" ht="15" customHeight="1" s="65">
      <c r="A8" s="73" t="inlineStr">
        <is>
          <t>Usable energy (MWh)</t>
        </is>
      </c>
      <c r="B8" s="128">
        <f>B2*B3</f>
        <v/>
      </c>
      <c r="C8" s="73" t="n"/>
    </row>
    <row r="9" ht="15" customHeight="1" s="65">
      <c r="A9" s="73" t="inlineStr">
        <is>
          <t>Time to fill at charge power (h)</t>
        </is>
      </c>
      <c r="B9" s="128">
        <f>B8/(B4*B5)</f>
        <v/>
      </c>
      <c r="C9" s="73" t="n"/>
    </row>
    <row r="10" ht="15" customHeight="1" s="65">
      <c r="A10" s="73" t="inlineStr">
        <is>
          <t>Distance covered while filling (mi)</t>
        </is>
      </c>
      <c r="B10" s="128">
        <f>B9*B6</f>
        <v/>
      </c>
      <c r="C10" s="73" t="n"/>
    </row>
    <row r="11" ht="15" customHeight="1" s="65">
      <c r="A11" s="73" t="inlineStr">
        <is>
          <t>Time to cover target distance (h)</t>
        </is>
      </c>
      <c r="B11" s="128">
        <f>B7/B6</f>
        <v/>
      </c>
      <c r="C11" s="73" t="n"/>
    </row>
    <row r="12" ht="15" customHeight="1" s="65">
      <c r="A12" s="73" t="inlineStr">
        <is>
          <t>Power to spread usable energy over target distance (MW)</t>
        </is>
      </c>
      <c r="B12" s="128">
        <f>B8/B11/B5</f>
        <v/>
      </c>
      <c r="C12" s="73" t="n"/>
    </row>
    <row r="13" ht="15" customHeight="1" s="65">
      <c r="A13" s="73" t="inlineStr">
        <is>
          <t>Charge C-rate</t>
        </is>
      </c>
      <c r="B13" s="128">
        <f>B4/B2</f>
        <v/>
      </c>
      <c r="C13" s="73" t="inlineStr">
        <is>
          <t>Cell rating 0.5C</t>
        </is>
      </c>
    </row>
    <row r="14" ht="15" customHeight="1" s="65">
      <c r="A14" s="73" t="inlineStr">
        <is>
          <t>Power at 0.5C (MW)</t>
        </is>
      </c>
      <c r="B14" s="128">
        <f>0.5*B2</f>
        <v/>
      </c>
      <c r="C14" s="73" t="n"/>
    </row>
    <row r="15" ht="15" customHeight="1" s="65">
      <c r="A15" s="135" t="inlineStr">
        <is>
          <t>Wire current at the charge power with a 1,500 V wire (A); limit 1,666 A</t>
        </is>
      </c>
      <c r="B15" s="135">
        <f>B4*1000000/1500</f>
        <v/>
      </c>
      <c r="C15" s="135" t="inlineStr">
        <is>
          <t>Below 1,260 V wire voltage the 1,666 A limit binds before 2.1 MW</t>
        </is>
      </c>
    </row>
    <row r="16" ht="15" customHeight="1" s="65">
      <c r="A16" s="75" t="inlineStr">
        <is>
          <t>Dead-in-tow standby (72 V battery)</t>
        </is>
      </c>
    </row>
    <row r="17" ht="15" customHeight="1" s="65">
      <c r="A17" s="73" t="inlineStr">
        <is>
          <t>72 V battery capacity (Ah)</t>
        </is>
      </c>
      <c r="B17" s="126" t="n">
        <v>650</v>
      </c>
      <c r="C17" s="73" t="inlineStr">
        <is>
          <t>GP40-V spec battery (Deka East Penn 650 Ah)</t>
        </is>
      </c>
    </row>
    <row r="18" ht="15" customHeight="1" s="65">
      <c r="A18" s="73" t="inlineStr">
        <is>
          <t>Nominal voltage (V)</t>
        </is>
      </c>
      <c r="B18" s="126" t="n">
        <v>72</v>
      </c>
      <c r="C18" s="73" t="n"/>
    </row>
    <row r="19" ht="15" customHeight="1" s="65">
      <c r="A19" s="73" t="inlineStr">
        <is>
          <t>Allowed depth of discharge</t>
        </is>
      </c>
      <c r="B19" s="127" t="n">
        <v>0.5</v>
      </c>
      <c r="C19" s="73" t="inlineStr">
        <is>
          <t>Assumption for lead-acid</t>
        </is>
      </c>
    </row>
    <row r="20" ht="15" customHeight="1" s="65">
      <c r="A20" s="73" t="inlineStr">
        <is>
          <t>Usable 72 V energy (kWh)</t>
        </is>
      </c>
      <c r="B20" s="129">
        <f>B17*B18*B19/1000</f>
        <v/>
      </c>
      <c r="C20" s="73" t="n"/>
    </row>
    <row r="21" ht="15" customHeight="1" s="65">
      <c r="A21" s="73" t="inlineStr">
        <is>
          <t>Lean monitoring load (W)</t>
        </is>
      </c>
      <c r="B21" s="126" t="n">
        <v>60</v>
      </c>
      <c r="C21" s="73" t="inlineStr">
        <is>
          <t>Assumption: BCUs 36 W + ETH switch + cellular modem</t>
        </is>
      </c>
    </row>
    <row r="22" ht="15" customHeight="1" s="65">
      <c r="A22" s="73" t="inlineStr">
        <is>
          <t>Full monitoring load (W)</t>
        </is>
      </c>
      <c r="B22" s="126" t="n">
        <v>260</v>
      </c>
      <c r="C22" s="73" t="inlineStr">
        <is>
          <t>Assumption: + VMS ~50 W, Starlink ~50 W, gateway, VIO, UPS</t>
        </is>
      </c>
    </row>
    <row r="23" ht="15" customHeight="1" s="65">
      <c r="A23" s="73" t="inlineStr">
        <is>
          <t>Tow duration (h)</t>
        </is>
      </c>
      <c r="B23" s="126" t="n">
        <v>252</v>
      </c>
      <c r="C23" s="73" t="inlineStr">
        <is>
          <t>1.5 weeks worst case (10/6 stand-up)</t>
        </is>
      </c>
    </row>
    <row r="24" ht="15" customHeight="1" s="65">
      <c r="A24" s="73" t="inlineStr">
        <is>
          <t>Lean mode energy over tow (kWh)</t>
        </is>
      </c>
      <c r="B24" s="129">
        <f>B21*B23/1000</f>
        <v/>
      </c>
      <c r="C24" s="73" t="n"/>
    </row>
    <row r="25" ht="15" customHeight="1" s="65">
      <c r="A25" s="73" t="inlineStr">
        <is>
          <t>Full mode energy over tow (kWh)</t>
        </is>
      </c>
      <c r="B25" s="129">
        <f>B22*B23/1000</f>
        <v/>
      </c>
      <c r="C25" s="73" t="n"/>
    </row>
    <row r="26" ht="15" customHeight="1" s="65">
      <c r="A26" s="73" t="inlineStr">
        <is>
          <t>Lean mode endurance (days)</t>
        </is>
      </c>
      <c r="B26" s="129">
        <f>B20/(B21*24/1000)</f>
        <v/>
      </c>
      <c r="C26" s="73" t="n"/>
    </row>
    <row r="27" ht="15" customHeight="1" s="65">
      <c r="A27" s="73" t="inlineStr">
        <is>
          <t>Full mode endurance (days)</t>
        </is>
      </c>
      <c r="B27" s="129">
        <f>B20/(B22*24/1000)</f>
        <v/>
      </c>
      <c r="C27" s="73" t="n"/>
    </row>
    <row r="28" ht="15" customHeight="1" s="65"/>
    <row r="29" ht="15" customHeight="1" s="65">
      <c r="A29" s="75" t="inlineStr">
        <is>
          <t>Tow SOC window (traction pack)</t>
        </is>
      </c>
    </row>
    <row r="30" ht="15" customHeight="1" s="65">
      <c r="A30" s="73" t="inlineStr">
        <is>
          <t>Energy needed at JAX before charging infra (MWh)</t>
        </is>
      </c>
      <c r="B30" s="126" t="n">
        <v>0.3</v>
      </c>
      <c r="C30" s="73" t="inlineStr">
        <is>
          <t>Assumption: recommission + 20-min run + yard moves</t>
        </is>
      </c>
    </row>
    <row r="31" ht="15" customHeight="1" s="65">
      <c r="A31" s="73" t="inlineStr">
        <is>
          <t>Reserve floor (fraction)</t>
        </is>
      </c>
      <c r="B31" s="127" t="n">
        <v>0.15</v>
      </c>
      <c r="C31" s="73" t="inlineStr">
        <is>
          <t>Assumption</t>
        </is>
      </c>
    </row>
    <row r="32" ht="15" customHeight="1" s="65">
      <c r="A32" s="73" t="inlineStr">
        <is>
          <t>Minimum tow SOC</t>
        </is>
      </c>
      <c r="B32" s="130">
        <f>B31+B30/B2</f>
        <v/>
      </c>
      <c r="C32" s="73" t="n"/>
    </row>
    <row r="33" ht="15" customHeight="1" s="65">
      <c r="A33" s="73" t="inlineStr">
        <is>
          <t>Proposed maximum tow SOC</t>
        </is>
      </c>
      <c r="B33" s="127" t="n">
        <v>0.5</v>
      </c>
      <c r="C33" s="73" t="inlineStr">
        <is>
          <t>Proposal; confirm with CSX hazmat</t>
        </is>
      </c>
    </row>
    <row r="35">
      <c r="A35" s="75" t="inlineStr">
        <is>
          <t>Yard duty (CSX4091 model, v1.4)</t>
        </is>
      </c>
    </row>
    <row r="36">
      <c r="A36" s="73" t="inlineStr">
        <is>
          <t>Battery energy per yard day (kWh)</t>
        </is>
      </c>
      <c r="B36" s="126" t="n">
        <v>813</v>
      </c>
      <c r="C36" s="73" t="inlineStr">
        <is>
          <t>decompose_csx4091, 25.5 h Jacksonville yard trace, Rev C, regen off</t>
        </is>
      </c>
    </row>
    <row r="37">
      <c r="A37" s="73" t="inlineStr">
        <is>
          <t>Days per charge in usable window</t>
        </is>
      </c>
      <c r="B37" s="126">
        <f>B2*1000*B3/B36</f>
        <v/>
      </c>
      <c r="C37" s="73" t="inlineStr">
        <is>
          <t>Usable window from B3</t>
        </is>
      </c>
    </row>
    <row r="38">
      <c r="A38" s="73" t="inlineStr">
        <is>
          <t>Aux + TMS share of daily energy</t>
        </is>
      </c>
      <c r="B38" s="126" t="n">
        <v>0.38</v>
      </c>
      <c r="C38" s="73" t="inlineStr">
        <is>
          <t>RSK-NEW-55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2026-10-07T23:06:36Z</dcterms:created>
  <dcterms:modified xmlns:dcterms="http://purl.org/dc/terms/" xmlns:xsi="http://www.w3.org/2001/XMLSchema-instance" xsi:type="dcterms:W3CDTF">2026-10-16T18:29:17Z</dcterms:modified>
  <cp:revision>0</cp:revision>
</cp:coreProperties>
</file>